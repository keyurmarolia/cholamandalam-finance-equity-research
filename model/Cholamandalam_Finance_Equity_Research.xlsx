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d4297151c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" sheetId="1" r:id="R36afa913df2341ea"/>
    <x:sheet xmlns:r="http://schemas.openxmlformats.org/officeDocument/2006/relationships" name="01_Sources" sheetId="2" r:id="R5d8a086dcfbf42fa"/>
    <x:sheet xmlns:r="http://schemas.openxmlformats.org/officeDocument/2006/relationships" name="02_Raw_Financials" sheetId="3" r:id="Rbf63476d10654289"/>
    <x:sheet xmlns:r="http://schemas.openxmlformats.org/officeDocument/2006/relationships" name="03_Historical_Analysis" sheetId="4" r:id="Rda223cd535634599"/>
    <x:sheet xmlns:r="http://schemas.openxmlformats.org/officeDocument/2006/relationships" name="04_Industry_Data" sheetId="5" r:id="R0b7392e25edd4ede"/>
    <x:sheet xmlns:r="http://schemas.openxmlformats.org/officeDocument/2006/relationships" name="05_Assumptions" sheetId="6" r:id="R43a97a0680904ead"/>
    <x:sheet xmlns:r="http://schemas.openxmlformats.org/officeDocument/2006/relationships" name="06_Schedules" sheetId="7" r:id="Rb4315d59454b4323"/>
    <x:sheet xmlns:r="http://schemas.openxmlformats.org/officeDocument/2006/relationships" name="07_Income_Statement" sheetId="8" r:id="R69524836669f4fcb"/>
    <x:sheet xmlns:r="http://schemas.openxmlformats.org/officeDocument/2006/relationships" name="08_Balance_Sheet" sheetId="9" r:id="R870b96206982421f"/>
    <x:sheet xmlns:r="http://schemas.openxmlformats.org/officeDocument/2006/relationships" name="09_Cash_Flow" sheetId="10" r:id="Ra8c12f2640c7441a"/>
    <x:sheet xmlns:r="http://schemas.openxmlformats.org/officeDocument/2006/relationships" name="10_DCF" sheetId="11" r:id="Re89f483c4d5d4311"/>
    <x:sheet xmlns:r="http://schemas.openxmlformats.org/officeDocument/2006/relationships" name="11_Reverse_DCF" sheetId="12" r:id="Ra7fb75034d06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dd-mmm-yyyy"/>
    <x:numFmt numFmtId="201" formatCode="0.0%;(0.0%);&quot;-&quot;"/>
    <x:numFmt numFmtId="202" formatCode="0.00"/>
    <x:numFmt numFmtId="203" formatCode="#,##0.0;(#,##0.0);&quot;-&quot;"/>
    <x:numFmt numFmtId="204" formatCode="0.00;(0.00);&quot;-&quot;"/>
    <x:numFmt numFmtId="205" formatCode="0.0000"/>
    <x:numFmt numFmtId="206" formatCode="#,##0.00;(#,##0.00);&quot;-&quot;"/>
    <x:numFmt numFmtId="207" formatCode="0.00%"/>
    <x:numFmt numFmtId="208" formatCode="0.00;(0.00);0.00"/>
  </x:numFmts>
  <x:fonts count="17">
    <x:font>
      <x:sz val="11"/>
      <x:name val="Carlito"/>
    </x:font>
    <x:font>
      <x:sz val="10"/>
      <x:color rgb="FF000000"/>
      <x:name val="Arial"/>
    </x:font>
    <x:font>
      <x:b/>
      <x:sz val="16"/>
      <x:color rgb="FFFFFFFF"/>
      <x:name val="Arial"/>
    </x:font>
    <x:font>
      <x:b/>
      <x:sz val="10"/>
      <x:color rgb="FF000000"/>
      <x:name val="Arial"/>
    </x:font>
    <x:font>
      <x:sz val="10"/>
      <x:color rgb="FF008000"/>
      <x:name val="Arial"/>
    </x:font>
    <x:font>
      <x:sz val="10"/>
      <x:color rgb="FF555555"/>
      <x:name val="Arial"/>
    </x:font>
    <x:font>
      <x:b/>
      <x:sz val="10"/>
      <x:color rgb="FFFFFFFF"/>
      <x:name val="Arial"/>
    </x:font>
    <x:font>
      <x:b/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0000FF"/>
      <x:name val="Arial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30363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F343B"/>
      </x:patternFill>
    </x:fill>
    <x:fill>
      <x:patternFill patternType="solid">
        <x:fgColor rgb="FFDCE9E5"/>
      </x:patternFill>
    </x:fill>
    <x:fill>
      <x:patternFill patternType="solid">
        <x:fgColor rgb="FF3F6F63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A8B1AE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right" vertical="center"/>
    </x:xf>
    <x:xf numFmtId="203" fontId="2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horizontal="right" vertical="center"/>
    </x:xf>
    <x:xf numFmtId="203" fontId="6" fillId="4" borderId="0" xfId="0" applyNumberFormat="1" applyFont="1" applyFill="1" applyBorder="1" applyAlignment="1">
      <x:alignment vertical="center"/>
    </x:xf>
    <x:xf numFmtId="203" fontId="3" fillId="3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9" fillId="0" borderId="1" xfId="0" applyNumberFormat="1" applyFont="1" applyFill="1" applyBorder="1" applyAlignment="1">
      <x:alignment vertical="center"/>
    </x:xf>
    <x:xf numFmtId="203" fontId="9" fillId="3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201" fontId="11" fillId="0" borderId="0" xfId="0" applyNumberFormat="1" applyFont="1" applyFill="1" applyBorder="1"/>
    <x:xf numFmtId="201" fontId="0" fillId="0" borderId="0" xfId="0" applyNumberFormat="1" applyFont="1" applyFill="1" applyBorder="1"/>
    <x:xf numFmtId="201" fontId="10" fillId="0" borderId="0" xfId="0" applyNumberFormat="1" applyFont="1" applyFill="1" applyBorder="1"/>
    <x:xf numFmtId="201" fontId="12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/>
    <x:xf numFmtId="0" fontId="0" fillId="3" borderId="0" xfId="0" applyNumberFormat="1" applyFont="1" applyFill="1" applyBorder="1"/>
    <x:xf numFmtId="0" fontId="13" fillId="3" borderId="0" xfId="0" applyNumberFormat="1" applyFont="1" applyFill="1" applyBorder="1"/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3" fillId="0" borderId="1" xfId="0" applyNumberFormat="1" applyFont="1" applyFill="1" applyBorder="1"/>
    <x:xf numFmtId="200" fontId="10" fillId="0" borderId="0" xfId="0" applyNumberFormat="1" applyFont="1" applyFill="1" applyBorder="1"/>
    <x:xf numFmtId="205" fontId="1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/>
    <x:xf numFmtId="203" fontId="10" fillId="0" borderId="0" xfId="0" applyNumberFormat="1" applyFont="1" applyFill="1" applyBorder="1"/>
    <x:xf numFmtId="203" fontId="0" fillId="0" borderId="0" xfId="0" applyNumberFormat="1" applyFont="1" applyFill="1" applyBorder="1"/>
    <x:xf numFmtId="206" fontId="11" fillId="0" borderId="0" xfId="0" applyNumberFormat="1" applyFont="1" applyFill="1" applyBorder="1"/>
    <x:xf numFmtId="206" fontId="1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1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5" fillId="4" borderId="0" xfId="0" applyNumberFormat="1" applyFont="1" applyFill="1" applyBorder="1"/>
    <x:xf numFmtId="203" fontId="14" fillId="0" borderId="1" xfId="0" applyNumberFormat="1" applyFont="1" applyFill="1" applyBorder="1"/>
    <x:xf numFmtId="203" fontId="13" fillId="0" borderId="1" xfId="0" applyNumberFormat="1" applyFont="1" applyFill="1" applyBorder="1"/>
    <x:xf numFmtId="207" fontId="11" fillId="0" borderId="0" xfId="0" applyNumberFormat="1" applyFont="1" applyFill="1" applyBorder="1"/>
    <x:xf numFmtId="207" fontId="12" fillId="0" borderId="0" xfId="0" applyNumberFormat="1" applyFont="1" applyFill="1" applyBorder="1"/>
    <x:xf numFmtId="207" fontId="4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8" fontId="4" fillId="0" borderId="0" xfId="0" applyNumberFormat="1" applyFont="1" applyFill="1" applyBorder="1" applyAlignment="1">
      <x:alignment vertical="center"/>
    </x:xf>
    <x:xf numFmtId="206" fontId="3" fillId="0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right" vertical="center"/>
    </x:xf>
    <x:xf numFmtId="0" fontId="16" fillId="5" borderId="0" xfId="0" applyNumberFormat="1" applyFont="1" applyFill="1" applyBorder="1" applyAlignment="1">
      <x:alignment vertical="center"/>
    </x:xf>
    <x:xf numFmtId="0" fontId="16" fillId="5" borderId="0" xfId="0" applyNumberFormat="1" applyFont="1" applyFill="1" applyBorder="1" applyAlignment="1">
      <x:alignment horizontal="right" vertical="center"/>
    </x:xf>
    <x:xf numFmtId="203" fontId="2" fillId="5" borderId="0" xfId="0" applyNumberFormat="1" applyFont="1" applyFill="1" applyBorder="1" applyAlignment="1">
      <x:alignment vertical="center"/>
    </x:xf>
    <x:xf numFmtId="203" fontId="2" fillId="5" borderId="0" xfId="0" applyNumberFormat="1" applyFont="1" applyFill="1" applyBorder="1" applyAlignment="1">
      <x:alignment horizontal="right" vertical="center"/>
    </x:xf>
    <x:xf numFmtId="203" fontId="16" fillId="5" borderId="0" xfId="0" applyNumberFormat="1" applyFont="1" applyFill="1" applyBorder="1" applyAlignment="1">
      <x:alignment vertical="center"/>
    </x:xf>
    <x:xf numFmtId="203" fontId="16" fillId="5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wrapText="0"/>
    </x:xf>
    <x:xf numFmtId="0" fontId="16" fillId="6" borderId="0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horizontal="right" vertical="center"/>
    </x:xf>
    <x:xf numFmtId="203" fontId="16" fillId="6" borderId="0" xfId="0" applyNumberFormat="1" applyFont="1" applyFill="1" applyBorder="1" applyAlignment="1">
      <x:alignment vertical="center"/>
    </x:xf>
    <x:xf numFmtId="203" fontId="16" fillId="6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bf1b42e4340de" /><Relationship Type="http://schemas.openxmlformats.org/officeDocument/2006/relationships/theme" Target="/xl/theme/theme1.xml" Id="Re0726c7aab40475a" /><Relationship Type="http://schemas.openxmlformats.org/officeDocument/2006/relationships/sharedStrings" Target="/xl/sharedStrings.xml" Id="Rc06090f3076b4c34" /><Relationship Type="http://schemas.openxmlformats.org/officeDocument/2006/relationships/worksheet" Target="/xl/worksheets/sheet1.xml" Id="R36afa913df2341ea" /><Relationship Type="http://schemas.openxmlformats.org/officeDocument/2006/relationships/worksheet" Target="/xl/worksheets/sheet2.xml" Id="R5d8a086dcfbf42fa" /><Relationship Type="http://schemas.openxmlformats.org/officeDocument/2006/relationships/worksheet" Target="/xl/worksheets/sheet3.xml" Id="Rbf63476d10654289" /><Relationship Type="http://schemas.openxmlformats.org/officeDocument/2006/relationships/worksheet" Target="/xl/worksheets/sheet4.xml" Id="Rda223cd535634599" /><Relationship Type="http://schemas.openxmlformats.org/officeDocument/2006/relationships/worksheet" Target="/xl/worksheets/sheet5.xml" Id="R0b7392e25edd4ede" /><Relationship Type="http://schemas.openxmlformats.org/officeDocument/2006/relationships/worksheet" Target="/xl/worksheets/sheet6.xml" Id="R43a97a0680904ead" /><Relationship Type="http://schemas.openxmlformats.org/officeDocument/2006/relationships/worksheet" Target="/xl/worksheets/sheet7.xml" Id="Rb4315d59454b4323" /><Relationship Type="http://schemas.openxmlformats.org/officeDocument/2006/relationships/worksheet" Target="/xl/worksheets/sheet8.xml" Id="R69524836669f4fcb" /><Relationship Type="http://schemas.openxmlformats.org/officeDocument/2006/relationships/worksheet" Target="/xl/worksheets/sheet9.xml" Id="R870b96206982421f" /><Relationship Type="http://schemas.openxmlformats.org/officeDocument/2006/relationships/worksheet" Target="/xl/worksheets/sheet10.xml" Id="Ra8c12f2640c7441a" /><Relationship Type="http://schemas.openxmlformats.org/officeDocument/2006/relationships/worksheet" Target="/xl/worksheets/sheet11.xml" Id="Re89f483c4d5d4311" /><Relationship Type="http://schemas.openxmlformats.org/officeDocument/2006/relationships/worksheet" Target="/xl/worksheets/sheet12.xml" Id="Ra7fb75034d0641fb" /></Relationships>
</file>

<file path=xl/theme/theme1.xml><?xml version="1.0" encoding="utf-8"?>
<a:theme xmlns:a="http://schemas.openxmlformats.org/drawingml/2006/main" name="Chola Finance">
  <a:themeElements>
    <a:clrScheme name="Chola Finan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ola Finan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7" customHeight="1">
      <x:c r="A1" s="92" t="str">
        <x:v>Cholamandalam Finance Equity Research</x:v>
      </x:c>
      <x:c r="B1" s="92"/>
      <x:c r="C1" s="93"/>
      <x:c r="D1" s="93"/>
      <x:c r="E1" s="93"/>
      <x:c r="F1" s="93"/>
      <x:c r="G1" s="93"/>
      <x:c r="H1" s="93"/>
      <x:c r="I1" s="93"/>
      <x:c r="J1" s="93"/>
      <x:c r="K1" s="93"/>
      <x:c r="L1" s="93"/>
    </x:row>
    <x:row r="2" ht="8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9" customHeight="1">
      <x:c r="A3" s="2" t="str">
        <x:v>Standalone lender model | INR crore except per-share data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9" customHeight="1">
      <x:c r="A5" s="6" t="str">
        <x:v>Scope</x:v>
      </x:c>
      <x:c r="B5" s="6"/>
      <x:c r="C5" s="6"/>
      <x:c r="D5" s="6"/>
      <x:c r="E5" s="6"/>
      <x:c r="F5" s="6"/>
      <x:c r="G5" s="6"/>
      <x:c r="H5" s="2"/>
      <x:c r="I5" s="2"/>
      <x:c r="J5" s="2"/>
      <x:c r="K5" s="2"/>
      <x:c r="L5" s="2"/>
    </x:row>
    <x:row r="6" ht="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19" customHeight="1">
      <x:c r="A7" s="2" t="str">
        <x:v>Historical coverage</x:v>
      </x:c>
      <x:c r="B7" s="2"/>
      <x:c r="C7" s="2" t="str">
        <x:v>FY2022–FY2026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 ht="19" customHeight="1">
      <x:c r="A8" s="2" t="str">
        <x:v>Forecast horizon</x:v>
      </x:c>
      <x:c r="B8" s="2"/>
      <x:c r="C8" s="2" t="str">
        <x:v>FY2027–FY2031</x:v>
      </x:c>
      <x:c r="D8" s="2"/>
      <x:c r="E8" s="2"/>
      <x:c r="F8" s="2"/>
      <x:c r="G8" s="2"/>
      <x:c r="H8" s="2"/>
      <x:c r="I8" s="2"/>
      <x:c r="J8" s="2"/>
      <x:c r="K8" s="2"/>
      <x:c r="L8" s="2"/>
    </x:row>
    <x:row r="9" ht="19" customHeight="1">
      <x:c r="A9" s="2" t="str">
        <x:v>Valuation reference date</x:v>
      </x:c>
      <x:c r="B9" s="2"/>
      <x:c r="C9" s="7" t="n">
        <x:v>46283</x:v>
      </x:c>
      <x:c r="D9" s="2"/>
      <x:c r="E9" s="2"/>
      <x:c r="F9" s="2"/>
      <x:c r="G9" s="2"/>
      <x:c r="H9" s="2"/>
      <x:c r="I9" s="2"/>
      <x:c r="J9" s="2"/>
      <x:c r="K9" s="2"/>
      <x:c r="L9" s="2"/>
    </x:row>
    <x:row r="10" ht="8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8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19" customHeight="1">
      <x:c r="A12" s="6" t="str">
        <x:v>Key outputs</x:v>
      </x:c>
      <x:c r="B12" s="6"/>
      <x:c r="C12" s="6"/>
      <x:c r="D12" s="6"/>
      <x:c r="E12" s="6"/>
      <x:c r="F12" s="6"/>
      <x:c r="G12" s="6"/>
      <x:c r="H12" s="2"/>
      <x:c r="I12" s="2"/>
      <x:c r="J12" s="2"/>
      <x:c r="K12" s="2"/>
      <x:c r="L12" s="2"/>
    </x:row>
    <x:row r="13" ht="8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19" customHeight="1">
      <x:c r="A14" s="2" t="str">
        <x:v>AUM CAGR FY2026-FY2031</x:v>
      </x:c>
      <x:c r="B14" s="2"/>
      <x:c r="C14" s="18" t="n">
        <x:f>('06_Schedules'!L8/'06_Schedules'!G8)^(1/5)-1</x:f>
        <x:v>0.18580529970516935</x:v>
      </x:c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19" customHeight="1">
      <x:c r="A15" s="2" t="str">
        <x:v>FY2031 ROE</x:v>
      </x:c>
      <x:c r="B15" s="2"/>
      <x:c r="C15" s="18" t="n">
        <x:f>'07_Income_Statement'!L20</x:f>
        <x:v>0.18260395275277166</x:v>
      </x:c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19" customHeight="1">
      <x:c r="A16" s="2" t="str">
        <x:v>FCFE value per share</x:v>
      </x:c>
      <x:c r="B16" s="2"/>
      <x:c r="C16" s="28" t="n">
        <x:f>'10_DCF'!C27</x:f>
        <x:v>776.153790115217</x:v>
      </x:c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19" customHeight="1">
      <x:c r="A17" s="2" t="str">
        <x:v>Reference share price</x:v>
      </x:c>
      <x:c r="B17" s="2"/>
      <x:c r="C17" s="28" t="n">
        <x:f>'10_DCF'!C28</x:f>
        <x:v>1779</x:v>
      </x:c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19" customHeight="1">
      <x:c r="A18" s="2" t="str">
        <x:v>Market-implied terminal ROE</x:v>
      </x:c>
      <x:c r="B18" s="2"/>
      <x:c r="C18" s="18" t="n">
        <x:f>'11_Reverse_DCF'!C12</x:f>
        <x:v>0.33761714852501334</x:v>
      </x:c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19" customHeight="1">
      <x:c r="A22" s="6" t="str">
        <x:v>Conventions</x:v>
      </x:c>
      <x:c r="B22" s="6"/>
      <x:c r="C22" s="6"/>
      <x:c r="D22" s="6"/>
      <x:c r="E22" s="6"/>
      <x:c r="F22" s="6"/>
      <x:c r="G22" s="6"/>
      <x:c r="H22" s="2"/>
      <x:c r="I22" s="2"/>
      <x:c r="J22" s="2"/>
      <x:c r="K22" s="2"/>
      <x:c r="L22" s="2"/>
    </x:row>
    <x:row r="23" ht="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19" customHeight="1">
      <x:c r="A24" s="2" t="str">
        <x:v>Blue numbers</x:v>
      </x:c>
      <x:c r="B24" s="2"/>
      <x:c r="C24" s="2" t="str">
        <x:v>Editable inputs</x:v>
      </x:c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19" customHeight="1">
      <x:c r="A25" s="2" t="str">
        <x:v>Green numbers</x:v>
      </x:c>
      <x:c r="B25" s="2"/>
      <x:c r="C25" s="2" t="str">
        <x:v>Links to another worksheet</x:v>
      </x:c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19" customHeight="1">
      <x:c r="A26" s="2" t="str">
        <x:v>Black numbers</x:v>
      </x:c>
      <x:c r="B26" s="2"/>
      <x:c r="C26" s="2" t="str">
        <x:v>Calculations and summaries</x:v>
      </x:c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19" customHeight="1">
      <x:c r="A27" s="2" t="str">
        <x:v>Negative values</x:v>
      </x:c>
      <x:c r="B27" s="2"/>
      <x:c r="C27" s="2" t="str">
        <x:v>Shown in brackets</x:v>
      </x:c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8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 ht="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19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19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19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19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19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19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19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19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19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19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19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19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19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19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19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19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19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19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19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19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19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19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19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19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19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19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19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19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19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19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19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19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19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19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19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19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19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19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19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19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19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19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19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19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19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19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19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19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19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19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19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19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19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19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19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19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 ht="19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19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ht="19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19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ht="19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 ht="19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 ht="19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ht="19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 ht="19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 ht="19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 ht="19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 ht="19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19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 ht="19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 ht="19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ht="19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  <x:row r="138" ht="19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</x:row>
    <x:row r="139" ht="19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</x:row>
    <x:row r="140" ht="19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46" hidden="0" customWidth="1"/>
    <x:col min="4" max="4" width="9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7" customHeight="1">
      <x:c r="A1" s="92" t="str">
        <x:v>Sources</x:v>
      </x:c>
      <x:c r="B1" s="92"/>
      <x:c r="C1" s="93"/>
      <x:c r="D1" s="93"/>
      <x:c r="E1" s="93"/>
      <x:c r="F1" s="93"/>
      <x:c r="G1" s="93"/>
      <x:c r="H1" s="93"/>
      <x:c r="I1" s="93"/>
      <x:c r="J1" s="93"/>
      <x:c r="K1" s="93"/>
      <x:c r="L1" s="93"/>
    </x:row>
    <x:row r="2" ht="8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9" customHeight="1">
      <x:c r="A3" s="2" t="str">
        <x:v>Cholamandalam Investment and Finance Company Limited | Standalone basis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9" customHeight="1">
      <x:c r="A5" s="74" t="str">
        <x:v>Period</x:v>
      </x:c>
      <x:c r="B5" s="74" t="str">
        <x:v>Document</x:v>
      </x:c>
      <x:c r="C5" s="74" t="str">
        <x:v>File name</x:v>
      </x:c>
      <x:c r="D5" s="74" t="str">
        <x:v>Source</x:v>
      </x:c>
      <x:c r="E5"/>
      <x:c r="F5"/>
      <x:c r="G5"/>
      <x:c r="H5"/>
      <x:c r="I5"/>
      <x:c r="J5"/>
      <x:c r="K5"/>
      <x:c r="L5"/>
    </x:row>
    <x:row r="6" ht="36" customHeight="1">
      <x:c r="A6" s="71" t="str">
        <x:v>FY2026</x:v>
      </x:c>
      <x:c r="B6" s="71" t="str">
        <x:v>transcripts</x:v>
      </x:c>
      <x:c r="C6" s="71" t="str">
        <x:v>Chola_Call_May2026.pdf</x:v>
      </x:c>
      <x:c r="D6" s="71" t="str">
        <x:v>https://files.cholamandalam.com/Earnings_Call_Transcript_4_May2026_2cf2ef8c05.pdf</x:v>
      </x:c>
      <x:c r="E6"/>
      <x:c r="F6"/>
      <x:c r="G6"/>
      <x:c r="H6"/>
      <x:c r="I6"/>
      <x:c r="J6"/>
      <x:c r="K6"/>
      <x:c r="L6"/>
    </x:row>
    <x:row r="7" ht="36" customHeight="1">
      <x:c r="A7" s="71" t="str">
        <x:v>Q1 FY2027</x:v>
      </x:c>
      <x:c r="B7" s="71" t="str">
        <x:v>transcripts</x:v>
      </x:c>
      <x:c r="C7" s="71" t="str">
        <x:v>Chola_Call_Jul2026.pdf</x:v>
      </x:c>
      <x:c r="D7" s="71" t="str">
        <x:v>https://files.cholamandalam.com/Chola_FY_27_Q1_Transcript_Kotak_16c010173a.pdf</x:v>
      </x:c>
      <x:c r="E7"/>
      <x:c r="F7"/>
      <x:c r="G7"/>
      <x:c r="H7"/>
      <x:c r="I7"/>
      <x:c r="J7"/>
      <x:c r="K7"/>
      <x:c r="L7"/>
    </x:row>
    <x:row r="8" ht="36" customHeight="1">
      <x:c r="A8" s="71" t="str">
        <x:v>FY2026</x:v>
      </x:c>
      <x:c r="B8" s="71" t="str">
        <x:v>annual reports</x:v>
      </x:c>
      <x:c r="C8" s="71" t="str">
        <x:v>Chola_Annual_Report_FY2026.pdf</x:v>
      </x:c>
      <x:c r="D8" s="71" t="str">
        <x:v>https://files.cholamandalam.com/cholafhl/CIFCL_AR_0fa97d6442.pdf</x:v>
      </x:c>
      <x:c r="E8"/>
      <x:c r="F8"/>
      <x:c r="G8"/>
      <x:c r="H8"/>
      <x:c r="I8"/>
      <x:c r="J8"/>
      <x:c r="K8"/>
      <x:c r="L8"/>
    </x:row>
    <x:row r="9" ht="36" customHeight="1">
      <x:c r="A9" s="71" t="str">
        <x:v>FY2025</x:v>
      </x:c>
      <x:c r="B9" s="71" t="str">
        <x:v>annual reports</x:v>
      </x:c>
      <x:c r="C9" s="71" t="str">
        <x:v>Chola_Annual_Report_FY2025.pdf</x:v>
      </x:c>
      <x:c r="D9" s="71" t="str">
        <x:v>https://files.cholamandalam.com/cholafhl/CIFCL_AR_24_25_pdf_crdownload_ed7db4c3dc.pdf</x:v>
      </x:c>
      <x:c r="E9"/>
      <x:c r="F9"/>
      <x:c r="G9"/>
      <x:c r="H9"/>
      <x:c r="I9"/>
      <x:c r="J9"/>
      <x:c r="K9"/>
      <x:c r="L9"/>
    </x:row>
    <x:row r="10" ht="36" customHeight="1">
      <x:c r="A10" s="71" t="str">
        <x:v>FY2024</x:v>
      </x:c>
      <x:c r="B10" s="71" t="str">
        <x:v>annual reports</x:v>
      </x:c>
      <x:c r="C10" s="71" t="str">
        <x:v>Chola_Annual_Report_FY2024.pdf</x:v>
      </x:c>
      <x:c r="D10" s="71" t="str">
        <x:v>https://files.cholamandalam.com/cholafhl/annual_report_fy_2023_2024_9fd088f109_f0b9b8a68b.pdf</x:v>
      </x:c>
      <x:c r="E10"/>
      <x:c r="F10"/>
      <x:c r="G10"/>
      <x:c r="H10"/>
      <x:c r="I10"/>
      <x:c r="J10"/>
      <x:c r="K10"/>
      <x:c r="L10"/>
    </x:row>
    <x:row r="11" ht="36" customHeight="1">
      <x:c r="A11" s="71" t="str">
        <x:v>FY2023</x:v>
      </x:c>
      <x:c r="B11" s="71" t="str">
        <x:v>annual reports</x:v>
      </x:c>
      <x:c r="C11" s="71" t="str">
        <x:v>Chola_Annual_Report_FY2023.pdf</x:v>
      </x:c>
      <x:c r="D11" s="71" t="str">
        <x:v>https://files.cholamandalam.com/cholafhl/CIFCL_AR_2022_23_a40d704b0f.pdf</x:v>
      </x:c>
      <x:c r="E11"/>
      <x:c r="F11"/>
      <x:c r="G11"/>
      <x:c r="H11"/>
      <x:c r="I11"/>
      <x:c r="J11"/>
      <x:c r="K11"/>
      <x:c r="L11"/>
    </x:row>
    <x:row r="12" ht="36" customHeight="1">
      <x:c r="A12" s="71" t="str">
        <x:v>FY2026</x:v>
      </x:c>
      <x:c r="B12" s="71" t="str">
        <x:v>investor presentations</x:v>
      </x:c>
      <x:c r="C12" s="71" t="str">
        <x:v>Chola_Presentation_Mar2026.pdf</x:v>
      </x:c>
      <x:c r="D12" s="71" t="str">
        <x:v>https://files.cholamandalam.com/Chola_Investor_presentation_Mar_26_63135c32db.pdf</x:v>
      </x:c>
      <x:c r="E12"/>
      <x:c r="F12"/>
      <x:c r="G12"/>
      <x:c r="H12"/>
      <x:c r="I12"/>
      <x:c r="J12"/>
      <x:c r="K12"/>
      <x:c r="L12"/>
    </x:row>
    <x:row r="13" ht="36" customHeight="1">
      <x:c r="A13" s="71" t="str">
        <x:v>Q1 FY2027</x:v>
      </x:c>
      <x:c r="B13" s="71" t="str">
        <x:v>investor presentations</x:v>
      </x:c>
      <x:c r="C13" s="71" t="str">
        <x:v>Chola_Presentation_Jun2026.pdf</x:v>
      </x:c>
      <x:c r="D13" s="71" t="str">
        <x:v>https://files.cholamandalam.com/Chola_Investor_presentation_Jun_26_801858d59d.pdf</x:v>
      </x:c>
      <x:c r="E13"/>
      <x:c r="F13"/>
      <x:c r="G13"/>
      <x:c r="H13"/>
      <x:c r="I13"/>
      <x:c r="J13"/>
      <x:c r="K13"/>
      <x:c r="L13"/>
    </x:row>
    <x:row r="14" ht="36" customHeight="1">
      <x:c r="A14" s="71" t="str">
        <x:v>18-Sep-2026</x:v>
      </x:c>
      <x:c r="B14" s="71" t="str">
        <x:v>Reference share price</x:v>
      </x:c>
      <x:c r="C14" s="71" t="str">
        <x:v>Screener CHOLAFIN web page</x:v>
      </x:c>
      <x:c r="D14" s="71" t="str">
        <x:v>https://www.screener.in/company/CHOLAFIN/</x:v>
      </x:c>
      <x:c r="E14"/>
      <x:c r="F14"/>
      <x:c r="G14"/>
      <x:c r="H14"/>
      <x:c r="I14"/>
      <x:c r="J14"/>
      <x:c r="K14"/>
      <x:c r="L14"/>
    </x:row>
    <x:row r="15" ht="8" customHeight="1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 ht="8" customHeight="1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 ht="8" customHeight="1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 ht="8" customHeight="1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 ht="8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 ht="8" customHeight="1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 ht="8" customHeight="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 ht="8" customHeight="1">
      <x:c r="A22"/>
      <x:c r="B22"/>
      <x:c r="C22"/>
      <x:c r="D22"/>
      <x:c r="E22"/>
      <x:c r="F22"/>
      <x:c r="G22"/>
      <x:c r="H22"/>
      <x:c r="I22"/>
      <x:c r="J22"/>
      <x:c r="K22"/>
      <x:c r="L22"/>
    </x:row>
    <x:row r="23" ht="8" customHeight="1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 ht="8" customHeight="1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 ht="8" customHeight="1">
      <x:c r="A25"/>
      <x:c r="B25"/>
      <x:c r="C25"/>
      <x:c r="D25"/>
      <x:c r="E25"/>
      <x:c r="F25"/>
      <x:c r="G25"/>
      <x:c r="H25"/>
      <x:c r="I25"/>
      <x:c r="J25"/>
      <x:c r="K25"/>
      <x:c r="L25"/>
    </x:row>
    <x:row r="26" ht="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19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19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19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19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19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19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19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19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19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19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19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19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19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19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19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19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19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19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19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19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19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19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19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19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19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19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19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19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19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19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19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19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19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19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19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19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19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19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19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19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19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19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19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19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19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19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19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19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19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19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19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19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19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19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19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19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 ht="19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19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ht="19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19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ht="19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 ht="19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 ht="19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ht="19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 ht="19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 ht="19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 ht="19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 ht="19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19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 ht="19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 ht="19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ht="19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  <x:row r="138" ht="19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</x:row>
    <x:row r="139" ht="19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</x:row>
    <x:row r="140" ht="19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7" customHeight="1">
      <x:c r="A1" s="94" t="str">
        <x:v>Historical Financial Statements</x:v>
      </x:c>
      <x:c r="B1" s="94"/>
      <x:c r="C1" s="95"/>
      <x:c r="D1" s="95"/>
      <x:c r="E1" s="95"/>
      <x:c r="F1" s="95"/>
      <x:c r="G1" s="95"/>
      <x:c r="H1" s="95"/>
      <x:c r="I1" s="95"/>
      <x:c r="J1" s="95"/>
      <x:c r="K1" s="95"/>
      <x:c r="L1" s="95"/>
    </x:row>
    <x:row r="2" ht="8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9" customHeight="1">
      <x:c r="A3" s="21" t="str">
        <x:v>Cholamandalam Investment and Finance Company Limited | Standalone | INR crore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8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19" customHeight="1">
      <x:c r="A5" s="32" t="str">
        <x:v>Metric</x:v>
      </x:c>
      <x:c r="B5" s="32" t="str"/>
      <x:c r="C5" s="32" t="str">
        <x:v>FY2022A</x:v>
      </x:c>
      <x:c r="D5" s="32" t="str">
        <x:v>FY2023A</x:v>
      </x:c>
      <x:c r="E5" s="32" t="str">
        <x:v>FY2024A</x:v>
      </x:c>
      <x:c r="F5" s="32" t="str">
        <x:v>FY2025A</x:v>
      </x:c>
      <x:c r="G5" s="32" t="str">
        <x:v>FY2026A</x:v>
      </x:c>
      <x:c r="H5" s="32"/>
      <x:c r="I5" s="32"/>
      <x:c r="J5" s="32"/>
      <x:c r="K5" s="32"/>
      <x:c r="L5" s="32"/>
    </x:row>
    <x:row r="6" ht="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 ht="19" customHeight="1">
      <x:c r="A7" s="33" t="str">
        <x:v>Income statement</x:v>
      </x:c>
      <x:c r="B7" s="33"/>
      <x:c r="C7" s="33"/>
      <x:c r="D7" s="33"/>
      <x:c r="E7" s="33"/>
      <x:c r="F7" s="33"/>
      <x:c r="G7" s="33"/>
      <x:c r="H7" s="21"/>
      <x:c r="I7" s="21"/>
      <x:c r="J7" s="21"/>
      <x:c r="K7" s="21"/>
      <x:c r="L7" s="21"/>
    </x:row>
    <x:row r="8" ht="19" customHeight="1">
      <x:c r="A8" s="21" t="str">
        <x:v>Interest income</x:v>
      </x:c>
      <x:c r="B8" s="21"/>
      <x:c r="C8" s="38" t="n">
        <x:v>9566.81</x:v>
      </x:c>
      <x:c r="D8" s="38" t="n">
        <x:v>12082.18</x:v>
      </x:c>
      <x:c r="E8" s="38" t="n">
        <x:v>17613.68</x:v>
      </x:c>
      <x:c r="F8" s="38" t="n">
        <x:v>23719.96</x:v>
      </x:c>
      <x:c r="G8" s="38" t="n">
        <x:v>28372.63</x:v>
      </x:c>
      <x:c r="H8" s="21"/>
      <x:c r="I8" s="21"/>
      <x:c r="J8" s="21"/>
      <x:c r="K8" s="21"/>
      <x:c r="L8" s="21"/>
    </x:row>
    <x:row r="9" ht="19" customHeight="1">
      <x:c r="A9" s="21" t="str">
        <x:v>Non-interest income including other income</x:v>
      </x:c>
      <x:c r="B9" s="21"/>
      <x:c r="C9" s="38" t="n">
        <x:v>571.96</x:v>
      </x:c>
      <x:c r="D9" s="38" t="n">
        <x:v>895.8</x:v>
      </x:c>
      <x:c r="E9" s="38" t="n">
        <x:v>1602.6</x:v>
      </x:c>
      <x:c r="F9" s="38" t="n">
        <x:v>2334.8</x:v>
      </x:c>
      <x:c r="G9" s="38" t="n">
        <x:v>3072.21</x:v>
      </x:c>
      <x:c r="H9" s="21"/>
      <x:c r="I9" s="21"/>
      <x:c r="J9" s="21"/>
      <x:c r="K9" s="21"/>
      <x:c r="L9" s="21"/>
    </x:row>
    <x:row r="10" ht="19" customHeight="1">
      <x:c r="A10" s="34" t="str">
        <x:v>Total income</x:v>
      </x:c>
      <x:c r="B10" s="34"/>
      <x:c r="C10" s="40" t="n">
        <x:v>10138.77</x:v>
      </x:c>
      <x:c r="D10" s="40" t="n">
        <x:v>12977.98</x:v>
      </x:c>
      <x:c r="E10" s="40" t="n">
        <x:v>19216.28</x:v>
      </x:c>
      <x:c r="F10" s="40" t="n">
        <x:v>26054.76</x:v>
      </x:c>
      <x:c r="G10" s="40" t="n">
        <x:v>31444.84</x:v>
      </x:c>
      <x:c r="H10" s="21"/>
      <x:c r="I10" s="21"/>
      <x:c r="J10" s="21"/>
      <x:c r="K10" s="21"/>
      <x:c r="L10" s="21"/>
    </x:row>
    <x:row r="11" ht="19" customHeight="1">
      <x:c r="A11" s="21" t="str">
        <x:v>Finance costs</x:v>
      </x:c>
      <x:c r="B11" s="21"/>
      <x:c r="C11" s="38" t="n">
        <x:v>4298.82</x:v>
      </x:c>
      <x:c r="D11" s="38" t="n">
        <x:v>5748.75</x:v>
      </x:c>
      <x:c r="E11" s="38" t="n">
        <x:v>9230.61</x:v>
      </x:c>
      <x:c r="F11" s="38" t="n">
        <x:v>12484.85</x:v>
      </x:c>
      <x:c r="G11" s="38" t="n">
        <x:v>14374.2</x:v>
      </x:c>
      <x:c r="H11" s="21"/>
      <x:c r="I11" s="21"/>
      <x:c r="J11" s="21"/>
      <x:c r="K11" s="21"/>
      <x:c r="L11" s="21"/>
    </x:row>
    <x:row r="12" ht="19" customHeight="1">
      <x:c r="A12" s="21" t="str">
        <x:v>Impairment / credit costs</x:v>
      </x:c>
      <x:c r="B12" s="21"/>
      <x:c r="C12" s="38" t="n">
        <x:v>880.3</x:v>
      </x:c>
      <x:c r="D12" s="38" t="n">
        <x:v>849.68</x:v>
      </x:c>
      <x:c r="E12" s="38" t="n">
        <x:v>1321.8</x:v>
      </x:c>
      <x:c r="F12" s="38" t="n">
        <x:v>2494.26</x:v>
      </x:c>
      <x:c r="G12" s="38" t="n">
        <x:v>3535.83</x:v>
      </x:c>
      <x:c r="H12" s="21"/>
      <x:c r="I12" s="21"/>
      <x:c r="J12" s="21"/>
      <x:c r="K12" s="21"/>
      <x:c r="L12" s="21"/>
    </x:row>
    <x:row r="13" ht="19" customHeight="1">
      <x:c r="A13" s="21" t="str">
        <x:v>Employee costs</x:v>
      </x:c>
      <x:c r="B13" s="21"/>
      <x:c r="C13" s="38" t="n">
        <x:v>894.53</x:v>
      </x:c>
      <x:c r="D13" s="38" t="n">
        <x:v>1265.68</x:v>
      </x:c>
      <x:c r="E13" s="38" t="n">
        <x:v>2330.55</x:v>
      </x:c>
      <x:c r="F13" s="38" t="n">
        <x:v>3280.51</x:v>
      </x:c>
      <x:c r="G13" s="38" t="n">
        <x:v>4152.8</x:v>
      </x:c>
      <x:c r="H13" s="21"/>
      <x:c r="I13" s="21"/>
      <x:c r="J13" s="21"/>
      <x:c r="K13" s="21"/>
      <x:c r="L13" s="21"/>
    </x:row>
    <x:row r="14" ht="19" customHeight="1">
      <x:c r="A14" s="21" t="str">
        <x:v>Depreciation and amortisation</x:v>
      </x:c>
      <x:c r="B14" s="21"/>
      <x:c r="C14" s="38" t="n">
        <x:v>97.35</x:v>
      </x:c>
      <x:c r="D14" s="38" t="n">
        <x:v>118.88</x:v>
      </x:c>
      <x:c r="E14" s="38" t="n">
        <x:v>195.77</x:v>
      </x:c>
      <x:c r="F14" s="38" t="n">
        <x:v>242.12</x:v>
      </x:c>
      <x:c r="G14" s="38" t="n">
        <x:v>281.32</x:v>
      </x:c>
      <x:c r="H14" s="21"/>
      <x:c r="I14" s="21"/>
      <x:c r="J14" s="21"/>
      <x:c r="K14" s="21"/>
      <x:c r="L14" s="21"/>
    </x:row>
    <x:row r="15" ht="19" customHeight="1">
      <x:c r="A15" s="21" t="str">
        <x:v>Other operating expenses</x:v>
      </x:c>
      <x:c r="B15" s="21"/>
      <x:c r="C15" s="38" t="n">
        <x:v>1076.83</x:v>
      </x:c>
      <x:c r="D15" s="38" t="n">
        <x:v>1395.3</x:v>
      </x:c>
      <x:c r="E15" s="38" t="n">
        <x:v>1555.45</x:v>
      </x:c>
      <x:c r="F15" s="38" t="n">
        <x:v>1816.15</x:v>
      </x:c>
      <x:c r="G15" s="38" t="n">
        <x:v>2140.03</x:v>
      </x:c>
      <x:c r="H15" s="21"/>
      <x:c r="I15" s="21"/>
      <x:c r="J15" s="21"/>
      <x:c r="K15" s="21"/>
      <x:c r="L15" s="21"/>
    </x:row>
    <x:row r="16" ht="19" customHeight="1">
      <x:c r="A16" s="21" t="str">
        <x:v>Profit before tax</x:v>
      </x:c>
      <x:c r="B16" s="21"/>
      <x:c r="C16" s="38" t="n">
        <x:v>2890.94</x:v>
      </x:c>
      <x:c r="D16" s="38" t="n">
        <x:v>3599.69</x:v>
      </x:c>
      <x:c r="E16" s="38" t="n">
        <x:v>4582.1</x:v>
      </x:c>
      <x:c r="F16" s="38" t="n">
        <x:v>5736.87</x:v>
      </x:c>
      <x:c r="G16" s="38" t="n">
        <x:v>6960.66</x:v>
      </x:c>
      <x:c r="H16" s="21"/>
      <x:c r="I16" s="21"/>
      <x:c r="J16" s="21"/>
      <x:c r="K16" s="21"/>
      <x:c r="L16" s="21"/>
    </x:row>
    <x:row r="17" ht="19" customHeight="1">
      <x:c r="A17" s="21" t="str">
        <x:v>Tax expense</x:v>
      </x:c>
      <x:c r="B17" s="21"/>
      <x:c r="C17" s="38" t="n">
        <x:v>744.23</x:v>
      </x:c>
      <x:c r="D17" s="38" t="n">
        <x:v>933.49</x:v>
      </x:c>
      <x:c r="E17" s="38" t="n">
        <x:v>1159.34</x:v>
      </x:c>
      <x:c r="F17" s="38" t="n">
        <x:v>1478.34</x:v>
      </x:c>
      <x:c r="G17" s="38" t="n">
        <x:v>1741.07</x:v>
      </x:c>
      <x:c r="H17" s="21"/>
      <x:c r="I17" s="21"/>
      <x:c r="J17" s="21"/>
      <x:c r="K17" s="21"/>
      <x:c r="L17" s="21"/>
    </x:row>
    <x:row r="18" ht="19" customHeight="1">
      <x:c r="A18" s="34" t="str">
        <x:v>Profit after tax</x:v>
      </x:c>
      <x:c r="B18" s="34"/>
      <x:c r="C18" s="40" t="n">
        <x:v>2146.71</x:v>
      </x:c>
      <x:c r="D18" s="40" t="n">
        <x:v>2666.2</x:v>
      </x:c>
      <x:c r="E18" s="40" t="n">
        <x:v>3422.76</x:v>
      </x:c>
      <x:c r="F18" s="40" t="n">
        <x:v>4258.53</x:v>
      </x:c>
      <x:c r="G18" s="40" t="n">
        <x:v>5219.59</x:v>
      </x:c>
      <x:c r="H18" s="21"/>
      <x:c r="I18" s="21"/>
      <x:c r="J18" s="21"/>
      <x:c r="K18" s="21"/>
      <x:c r="L18" s="21"/>
    </x:row>
    <x:row r="19" ht="8" customHeight="1">
      <x:c r="A19" s="21"/>
      <x:c r="B19" s="21"/>
      <x:c r="C19" s="38"/>
      <x:c r="D19" s="38"/>
      <x:c r="E19" s="38"/>
      <x:c r="F19" s="38"/>
      <x:c r="G19" s="38"/>
      <x:c r="H19" s="21"/>
      <x:c r="I19" s="21"/>
      <x:c r="J19" s="21"/>
      <x:c r="K19" s="21"/>
      <x:c r="L19" s="21"/>
    </x:row>
    <x:row r="20" ht="8" customHeight="1">
      <x:c r="A20" s="21"/>
      <x:c r="B20" s="21"/>
      <x:c r="C20" s="38"/>
      <x:c r="D20" s="38"/>
      <x:c r="E20" s="38"/>
      <x:c r="F20" s="38"/>
      <x:c r="G20" s="38"/>
      <x:c r="H20" s="21"/>
      <x:c r="I20" s="21"/>
      <x:c r="J20" s="21"/>
      <x:c r="K20" s="21"/>
      <x:c r="L20" s="21"/>
    </x:row>
    <x:row r="21" ht="19" customHeight="1">
      <x:c r="A21" s="33" t="str">
        <x:v>Balance sheet</x:v>
      </x:c>
      <x:c r="B21" s="33"/>
      <x:c r="C21" s="41"/>
      <x:c r="D21" s="41"/>
      <x:c r="E21" s="41"/>
      <x:c r="F21" s="41"/>
      <x:c r="G21" s="41"/>
      <x:c r="H21" s="21"/>
      <x:c r="I21" s="21"/>
      <x:c r="J21" s="21"/>
      <x:c r="K21" s="21"/>
      <x:c r="L21" s="21"/>
    </x:row>
    <x:row r="22" ht="19" customHeight="1">
      <x:c r="A22" s="21" t="str">
        <x:v>Loans</x:v>
      </x:c>
      <x:c r="B22" s="21"/>
      <x:c r="C22" s="38" t="n">
        <x:v>74149.21</x:v>
      </x:c>
      <x:c r="D22" s="38" t="n">
        <x:v>104748.32</x:v>
      </x:c>
      <x:c r="E22" s="38" t="n">
        <x:v>144424.29</x:v>
      </x:c>
      <x:c r="F22" s="38" t="n">
        <x:v>181929.9</x:v>
      </x:c>
      <x:c r="G22" s="38" t="n">
        <x:v>217571.16</x:v>
      </x:c>
      <x:c r="H22" s="21"/>
      <x:c r="I22" s="21"/>
      <x:c r="J22" s="21"/>
      <x:c r="K22" s="21"/>
      <x:c r="L22" s="21"/>
    </x:row>
    <x:row r="23" ht="19" customHeight="1">
      <x:c r="A23" s="21" t="str">
        <x:v>Cash and cash equivalents</x:v>
      </x:c>
      <x:c r="B23" s="21"/>
      <x:c r="C23" s="38" t="n">
        <x:v>2657.88</x:v>
      </x:c>
      <x:c r="D23" s="38" t="n">
        <x:v>910.29</x:v>
      </x:c>
      <x:c r="E23" s="38" t="n">
        <x:v>841.97</x:v>
      </x:c>
      <x:c r="F23" s="38" t="n">
        <x:v>5278.19</x:v>
      </x:c>
      <x:c r="G23" s="38" t="n">
        <x:v>8312.4</x:v>
      </x:c>
      <x:c r="H23" s="21"/>
      <x:c r="I23" s="21"/>
      <x:c r="J23" s="21"/>
      <x:c r="K23" s="21"/>
      <x:c r="L23" s="21"/>
    </x:row>
    <x:row r="24" ht="19" customHeight="1">
      <x:c r="A24" s="21" t="str">
        <x:v>Investments</x:v>
      </x:c>
      <x:c r="B24" s="21"/>
      <x:c r="C24" s="38" t="n">
        <x:v>2076.16</x:v>
      </x:c>
      <x:c r="D24" s="38" t="n">
        <x:v>3620.02</x:v>
      </x:c>
      <x:c r="E24" s="38" t="n">
        <x:v>4100.23</x:v>
      </x:c>
      <x:c r="F24" s="38" t="n">
        <x:v>6390.39</x:v>
      </x:c>
      <x:c r="G24" s="38" t="n">
        <x:v>6638.05</x:v>
      </x:c>
      <x:c r="H24" s="21"/>
      <x:c r="I24" s="21"/>
      <x:c r="J24" s="21"/>
      <x:c r="K24" s="21"/>
      <x:c r="L24" s="21"/>
    </x:row>
    <x:row r="25" ht="19" customHeight="1">
      <x:c r="A25" s="34" t="str">
        <x:v>Total assets</x:v>
      </x:c>
      <x:c r="B25" s="34"/>
      <x:c r="C25" s="40" t="n">
        <x:v>82363.35</x:v>
      </x:c>
      <x:c r="D25" s="40" t="n">
        <x:v>113515.51</x:v>
      </x:c>
      <x:c r="E25" s="40" t="n">
        <x:v>156450.77</x:v>
      </x:c>
      <x:c r="F25" s="40" t="n">
        <x:v>201647.59</x:v>
      </x:c>
      <x:c r="G25" s="40" t="n">
        <x:v>245069.85</x:v>
      </x:c>
      <x:c r="H25" s="21"/>
      <x:c r="I25" s="21"/>
      <x:c r="J25" s="21"/>
      <x:c r="K25" s="21"/>
      <x:c r="L25" s="21"/>
    </x:row>
    <x:row r="26" ht="19" customHeight="1">
      <x:c r="A26" s="21" t="str">
        <x:v>Debt securities</x:v>
      </x:c>
      <x:c r="B26" s="21"/>
      <x:c r="C26" s="38" t="n">
        <x:v>13321.1</x:v>
      </x:c>
      <x:c r="D26" s="38" t="n">
        <x:v>19682.41</x:v>
      </x:c>
      <x:c r="E26" s="38" t="n">
        <x:v>24812.76</x:v>
      </x:c>
      <x:c r="F26" s="38" t="n">
        <x:v>30133.99</x:v>
      </x:c>
      <x:c r="G26" s="38" t="n">
        <x:v>40636.05</x:v>
      </x:c>
      <x:c r="H26" s="21"/>
      <x:c r="I26" s="21"/>
      <x:c r="J26" s="21"/>
      <x:c r="K26" s="21"/>
      <x:c r="L26" s="21"/>
    </x:row>
    <x:row r="27" ht="19" customHeight="1">
      <x:c r="A27" s="21" t="str">
        <x:v>Other borrowings</x:v>
      </x:c>
      <x:c r="B27" s="21"/>
      <x:c r="C27" s="38" t="n">
        <x:v>52004.52</x:v>
      </x:c>
      <x:c r="D27" s="38" t="n">
        <x:v>73186.19</x:v>
      </x:c>
      <x:c r="E27" s="38" t="n">
        <x:v>104511.13</x:v>
      </x:c>
      <x:c r="F27" s="38" t="n">
        <x:v>133791.98</x:v>
      </x:c>
      <x:c r="G27" s="38" t="n">
        <x:v>156528.78</x:v>
      </x:c>
      <x:c r="H27" s="21"/>
      <x:c r="I27" s="21"/>
      <x:c r="J27" s="21"/>
      <x:c r="K27" s="21"/>
      <x:c r="L27" s="21"/>
    </x:row>
    <x:row r="28" ht="19" customHeight="1">
      <x:c r="A28" s="21" t="str">
        <x:v>Subordinated liabilities</x:v>
      </x:c>
      <x:c r="B28" s="21"/>
      <x:c r="C28" s="38" t="n">
        <x:v>3847.88</x:v>
      </x:c>
      <x:c r="D28" s="38" t="n">
        <x:v>4487.46</x:v>
      </x:c>
      <x:c r="E28" s="38" t="n">
        <x:v>5149.69</x:v>
      </x:c>
      <x:c r="F28" s="38" t="n">
        <x:v>11020.14</x:v>
      </x:c>
      <x:c r="G28" s="38" t="n">
        <x:v>13701.73</x:v>
      </x:c>
      <x:c r="H28" s="21"/>
      <x:c r="I28" s="21"/>
      <x:c r="J28" s="21"/>
      <x:c r="K28" s="21"/>
      <x:c r="L28" s="21"/>
    </x:row>
    <x:row r="29" ht="19" customHeight="1">
      <x:c r="A29" s="21" t="str">
        <x:v>Total equity</x:v>
      </x:c>
      <x:c r="B29" s="21"/>
      <x:c r="C29" s="38" t="n">
        <x:v>11707.68</x:v>
      </x:c>
      <x:c r="D29" s="38" t="n">
        <x:v>14296.05</x:v>
      </x:c>
      <x:c r="E29" s="38" t="n">
        <x:v>19556.51</x:v>
      </x:c>
      <x:c r="F29" s="38" t="n">
        <x:v>23627.4</x:v>
      </x:c>
      <x:c r="G29" s="38" t="n">
        <x:v>30404.02</x:v>
      </x:c>
      <x:c r="H29" s="21"/>
      <x:c r="I29" s="21"/>
      <x:c r="J29" s="21"/>
      <x:c r="K29" s="21"/>
      <x:c r="L29" s="21"/>
    </x:row>
    <x:row r="30" ht="19" customHeight="1">
      <x:c r="A30" s="34" t="str">
        <x:v>Total liabilities and equity</x:v>
      </x:c>
      <x:c r="B30" s="34"/>
      <x:c r="C30" s="40" t="n">
        <x:v>82363.35</x:v>
      </x:c>
      <x:c r="D30" s="40" t="n">
        <x:v>113515.51</x:v>
      </x:c>
      <x:c r="E30" s="40" t="n">
        <x:v>156450.77</x:v>
      </x:c>
      <x:c r="F30" s="40" t="n">
        <x:v>201647.59</x:v>
      </x:c>
      <x:c r="G30" s="40" t="n">
        <x:v>245069.85</x:v>
      </x:c>
      <x:c r="H30" s="21"/>
      <x:c r="I30" s="21"/>
      <x:c r="J30" s="21"/>
      <x:c r="K30" s="21"/>
      <x:c r="L30" s="21"/>
    </x:row>
    <x:row r="31" ht="8" customHeight="1">
      <x:c r="A31" s="21"/>
      <x:c r="B31" s="21"/>
      <x:c r="C31" s="38"/>
      <x:c r="D31" s="38"/>
      <x:c r="E31" s="38"/>
      <x:c r="F31" s="38"/>
      <x:c r="G31" s="38"/>
      <x:c r="H31" s="21"/>
      <x:c r="I31" s="21"/>
      <x:c r="J31" s="21"/>
      <x:c r="K31" s="21"/>
      <x:c r="L31" s="21"/>
    </x:row>
    <x:row r="32" ht="8" customHeight="1">
      <x:c r="A32" s="21"/>
      <x:c r="B32" s="21"/>
      <x:c r="C32" s="38"/>
      <x:c r="D32" s="38"/>
      <x:c r="E32" s="38"/>
      <x:c r="F32" s="38"/>
      <x:c r="G32" s="38"/>
      <x:c r="H32" s="21"/>
      <x:c r="I32" s="21"/>
      <x:c r="J32" s="21"/>
      <x:c r="K32" s="21"/>
      <x:c r="L32" s="21"/>
    </x:row>
    <x:row r="33" ht="19" customHeight="1">
      <x:c r="A33" s="33" t="str">
        <x:v>Lender metrics</x:v>
      </x:c>
      <x:c r="B33" s="33"/>
      <x:c r="C33" s="41"/>
      <x:c r="D33" s="41"/>
      <x:c r="E33" s="41"/>
      <x:c r="F33" s="41"/>
      <x:c r="G33" s="41"/>
      <x:c r="H33" s="21"/>
      <x:c r="I33" s="21"/>
      <x:c r="J33" s="21"/>
      <x:c r="K33" s="21"/>
      <x:c r="L33" s="21"/>
    </x:row>
    <x:row r="34" ht="19" customHeight="1">
      <x:c r="A34" s="21" t="str">
        <x:v>AUM</x:v>
      </x:c>
      <x:c r="B34" s="21"/>
      <x:c r="C34" s="38" t="n">
        <x:v>82904</x:v>
      </x:c>
      <x:c r="D34" s="38" t="n">
        <x:v>112782</x:v>
      </x:c>
      <x:c r="E34" s="38" t="n">
        <x:v>153718</x:v>
      </x:c>
      <x:c r="F34" s="38" t="n">
        <x:v>199876</x:v>
      </x:c>
      <x:c r="G34" s="38" t="n">
        <x:v>242630</x:v>
      </x:c>
      <x:c r="H34" s="21"/>
      <x:c r="I34" s="21"/>
      <x:c r="J34" s="21"/>
      <x:c r="K34" s="21"/>
      <x:c r="L34" s="21"/>
    </x:row>
    <x:row r="35" ht="19" customHeight="1">
      <x:c r="A35" s="21" t="str">
        <x:v>Disbursements</x:v>
      </x:c>
      <x:c r="B35" s="21"/>
      <x:c r="C35" s="38" t="n">
        <x:v>35490</x:v>
      </x:c>
      <x:c r="D35" s="38" t="n">
        <x:v>66532</x:v>
      </x:c>
      <x:c r="E35" s="38" t="n">
        <x:v>88725</x:v>
      </x:c>
      <x:c r="F35" s="38" t="n">
        <x:v>100869</x:v>
      </x:c>
      <x:c r="G35" s="38" t="n">
        <x:v>111642</x:v>
      </x:c>
      <x:c r="H35" s="21"/>
      <x:c r="I35" s="21"/>
      <x:c r="J35" s="21"/>
      <x:c r="K35" s="21"/>
      <x:c r="L35" s="21"/>
    </x:row>
    <x:row r="36" ht="19" customHeight="1">
      <x:c r="A36" s="21" t="str">
        <x:v>Gross NPA %</x:v>
      </x:c>
      <x:c r="B36" s="21"/>
      <x:c r="C36" s="26" t="n">
        <x:v>0.068</x:v>
      </x:c>
      <x:c r="D36" s="26" t="n">
        <x:v>0.046</x:v>
      </x:c>
      <x:c r="E36" s="26" t="n">
        <x:v>0.035</x:v>
      </x:c>
      <x:c r="F36" s="26" t="n">
        <x:v>0.04</x:v>
      </x:c>
      <x:c r="G36" s="26" t="n">
        <x:v>0.044</x:v>
      </x:c>
      <x:c r="H36" s="21"/>
      <x:c r="I36" s="21"/>
      <x:c r="J36" s="21"/>
      <x:c r="K36" s="21"/>
      <x:c r="L36" s="21"/>
    </x:row>
    <x:row r="37" ht="19" customHeight="1">
      <x:c r="A37" s="21" t="str">
        <x:v>Net NPA %</x:v>
      </x:c>
      <x:c r="B37" s="21"/>
      <x:c r="C37" s="26" t="n">
        <x:v>0.048</x:v>
      </x:c>
      <x:c r="D37" s="26" t="n">
        <x:v>0.031</x:v>
      </x:c>
      <x:c r="E37" s="26" t="n">
        <x:v>0.023</x:v>
      </x:c>
      <x:c r="F37" s="26" t="n">
        <x:v>0.026</x:v>
      </x:c>
      <x:c r="G37" s="26" t="n">
        <x:v>0.029</x:v>
      </x:c>
      <x:c r="H37" s="21"/>
      <x:c r="I37" s="21"/>
      <x:c r="J37" s="21"/>
      <x:c r="K37" s="21"/>
      <x:c r="L37" s="21"/>
    </x:row>
    <x:row r="38" ht="19" customHeight="1">
      <x:c r="A38" s="21" t="str">
        <x:v>Stage 3 %</x:v>
      </x:c>
      <x:c r="B38" s="21"/>
      <x:c r="C38" s="26" t="n">
        <x:v>0.044</x:v>
      </x:c>
      <x:c r="D38" s="26" t="n">
        <x:v>0.03</x:v>
      </x:c>
      <x:c r="E38" s="26" t="n">
        <x:v>0.025</x:v>
      </x:c>
      <x:c r="F38" s="26" t="n">
        <x:v>0.028</x:v>
      </x:c>
      <x:c r="G38" s="26" t="n">
        <x:v>0.03</x:v>
      </x:c>
      <x:c r="H38" s="21"/>
      <x:c r="I38" s="21"/>
      <x:c r="J38" s="21"/>
      <x:c r="K38" s="21"/>
      <x:c r="L38" s="21"/>
    </x:row>
    <x:row r="39" ht="19" customHeight="1">
      <x:c r="A39" s="21" t="str">
        <x:v>Net income margin (reported)</x:v>
      </x:c>
      <x:c r="B39" s="21"/>
      <x:c r="C39" s="26" t="n">
        <x:v>0.079</x:v>
      </x:c>
      <x:c r="D39" s="26" t="n">
        <x:v>0.077</x:v>
      </x:c>
      <x:c r="E39" s="26" t="n">
        <x:v>0.075</x:v>
      </x:c>
      <x:c r="F39" s="26" t="n">
        <x:v>0.077</x:v>
      </x:c>
      <x:c r="G39" s="26" t="n">
        <x:v>0.08</x:v>
      </x:c>
      <x:c r="H39" s="21"/>
      <x:c r="I39" s="21"/>
      <x:c r="J39" s="21"/>
      <x:c r="K39" s="21"/>
      <x:c r="L39" s="21"/>
    </x:row>
    <x:row r="40" ht="19" customHeight="1">
      <x:c r="A40" s="21" t="str">
        <x:v>Tier 1 capital %</x:v>
      </x:c>
      <x:c r="B40" s="21"/>
      <x:c r="C40" s="26" t="n">
        <x:v>0.165</x:v>
      </x:c>
      <x:c r="D40" s="26" t="n">
        <x:v>0.148</x:v>
      </x:c>
      <x:c r="E40" s="26" t="n">
        <x:v>0.151</x:v>
      </x:c>
      <x:c r="F40" s="26" t="n">
        <x:v>0.144</x:v>
      </x:c>
      <x:c r="G40" s="26" t="n">
        <x:v>0.147</x:v>
      </x:c>
      <x:c r="H40" s="21"/>
      <x:c r="I40" s="21"/>
      <x:c r="J40" s="21"/>
      <x:c r="K40" s="21"/>
      <x:c r="L40" s="21"/>
    </x:row>
    <x:row r="41" ht="19" customHeight="1">
      <x:c r="A41" s="21" t="str">
        <x:v>Capital adequacy ratio %</x:v>
      </x:c>
      <x:c r="B41" s="21"/>
      <x:c r="C41" s="26" t="n">
        <x:v>0.196</x:v>
      </x:c>
      <x:c r="D41" s="26" t="n">
        <x:v>0.171</x:v>
      </x:c>
      <x:c r="E41" s="26" t="n">
        <x:v>0.186</x:v>
      </x:c>
      <x:c r="F41" s="26" t="n">
        <x:v>0.198</x:v>
      </x:c>
      <x:c r="G41" s="26" t="n">
        <x:v>0.192</x:v>
      </x:c>
      <x:c r="H41" s="21"/>
      <x:c r="I41" s="21"/>
      <x:c r="J41" s="21"/>
      <x:c r="K41" s="21"/>
      <x:c r="L41" s="21"/>
    </x:row>
    <x:row r="42" ht="19" customHeight="1">
      <x:c r="A42" s="21" t="str">
        <x:v>ROA on PBT %</x:v>
      </x:c>
      <x:c r="B42" s="21"/>
      <x:c r="C42" s="26" t="n">
        <x:v>0.039</x:v>
      </x:c>
      <x:c r="D42" s="26" t="n">
        <x:v>0.038</x:v>
      </x:c>
      <x:c r="E42" s="26" t="n">
        <x:v>0.034</x:v>
      </x:c>
      <x:c r="F42" s="26" t="n">
        <x:v>0.033</x:v>
      </x:c>
      <x:c r="G42" s="26" t="n">
        <x:v>0.033</x:v>
      </x:c>
      <x:c r="H42" s="21"/>
      <x:c r="I42" s="21"/>
      <x:c r="J42" s="21"/>
      <x:c r="K42" s="21"/>
      <x:c r="L42" s="21"/>
    </x:row>
    <x:row r="43" ht="19" customHeight="1">
      <x:c r="A43" s="21" t="str">
        <x:v>ROE %</x:v>
      </x:c>
      <x:c r="B43" s="21"/>
      <x:c r="C43" s="26" t="n">
        <x:v>0.204</x:v>
      </x:c>
      <x:c r="D43" s="26" t="n">
        <x:v>0.206</x:v>
      </x:c>
      <x:c r="E43" s="26" t="n">
        <x:v>0.206</x:v>
      </x:c>
      <x:c r="F43" s="26" t="n">
        <x:v>0.198</x:v>
      </x:c>
      <x:c r="G43" s="26" t="n">
        <x:v>0.197</x:v>
      </x:c>
      <x:c r="H43" s="21"/>
      <x:c r="I43" s="21"/>
      <x:c r="J43" s="21"/>
      <x:c r="K43" s="21"/>
      <x:c r="L43" s="21"/>
    </x:row>
    <x:row r="44" ht="19" customHeight="1">
      <x:c r="A44" s="21" t="str">
        <x:v>CFO</x:v>
      </x:c>
      <x:c r="B44" s="21"/>
      <x:c r="C44" s="38" t="n">
        <x:v>-5607.52</x:v>
      </x:c>
      <x:c r="D44" s="38" t="n">
        <x:v>-27036.89</x:v>
      </x:c>
      <x:c r="E44" s="38" t="n">
        <x:v>-35767.52</x:v>
      </x:c>
      <x:c r="F44" s="38" t="n">
        <x:v>-32404.24</x:v>
      </x:c>
      <x:c r="G44" s="38" t="n">
        <x:v>-29920.22</x:v>
      </x:c>
      <x:c r="H44" s="21"/>
      <x:c r="I44" s="21"/>
      <x:c r="J44" s="21"/>
      <x:c r="K44" s="21"/>
      <x:c r="L44" s="21"/>
    </x:row>
    <x:row r="45" ht="19" customHeight="1">
      <x:c r="A45" s="21" t="str">
        <x:v>CFI</x:v>
      </x:c>
      <x:c r="B45" s="21"/>
      <x:c r="C45" s="38" t="n">
        <x:v>1666.68</x:v>
      </x:c>
      <x:c r="D45" s="38" t="n">
        <x:v>-2160.12</x:v>
      </x:c>
      <x:c r="E45" s="38" t="n">
        <x:v>-2705.47</x:v>
      </x:c>
      <x:c r="F45" s="38" t="n">
        <x:v>-2866.57</x:v>
      </x:c>
      <x:c r="G45" s="38" t="n">
        <x:v>-2542.8</x:v>
      </x:c>
      <x:c r="H45" s="21"/>
      <x:c r="I45" s="21"/>
      <x:c r="J45" s="21"/>
      <x:c r="K45" s="21"/>
      <x:c r="L45" s="21"/>
    </x:row>
    <x:row r="46" ht="19" customHeight="1">
      <x:c r="A46" s="21" t="str">
        <x:v>CFF</x:v>
      </x:c>
      <x:c r="B46" s="21"/>
      <x:c r="C46" s="38" t="n">
        <x:v>5150.87</x:v>
      </x:c>
      <x:c r="D46" s="38" t="n">
        <x:v>27449.42</x:v>
      </x:c>
      <x:c r="E46" s="38" t="n">
        <x:v>38404.67</x:v>
      </x:c>
      <x:c r="F46" s="38" t="n">
        <x:v>39707.03</x:v>
      </x:c>
      <x:c r="G46" s="38" t="n">
        <x:v>35497.23</x:v>
      </x:c>
      <x:c r="H46" s="21"/>
      <x:c r="I46" s="21"/>
      <x:c r="J46" s="21"/>
      <x:c r="K46" s="21"/>
      <x:c r="L46" s="21"/>
    </x:row>
    <x:row r="47" ht="8" customHeight="1">
      <x:c r="A47" s="21"/>
      <x:c r="B47" s="21"/>
      <x:c r="C47" s="38"/>
      <x:c r="D47" s="38"/>
      <x:c r="E47" s="38"/>
      <x:c r="F47" s="38"/>
      <x:c r="G47" s="38"/>
      <x:c r="H47" s="21"/>
      <x:c r="I47" s="21"/>
      <x:c r="J47" s="21"/>
      <x:c r="K47" s="21"/>
      <x:c r="L47" s="21"/>
    </x:row>
    <x:row r="48" ht="8" customHeight="1">
      <x:c r="A48" s="21"/>
      <x:c r="B48" s="21"/>
      <x:c r="C48" s="38"/>
      <x:c r="D48" s="38"/>
      <x:c r="E48" s="38"/>
      <x:c r="F48" s="38"/>
      <x:c r="G48" s="38"/>
      <x:c r="H48" s="21"/>
      <x:c r="I48" s="21"/>
      <x:c r="J48" s="21"/>
      <x:c r="K48" s="21"/>
      <x:c r="L48" s="21"/>
    </x:row>
    <x:row r="49" ht="8" customHeight="1">
      <x:c r="A49" s="36"/>
      <x:c r="B49" s="36"/>
      <x:c r="C49" s="42"/>
      <x:c r="D49" s="42"/>
      <x:c r="E49" s="42"/>
      <x:c r="F49" s="42"/>
      <x:c r="G49" s="42"/>
      <x:c r="H49" s="36"/>
      <x:c r="I49" s="36"/>
      <x:c r="J49" s="36"/>
      <x:c r="K49" s="36"/>
      <x:c r="L49" s="36"/>
    </x:row>
    <x:row r="50" ht="19" customHeight="1">
      <x:c r="A50" s="33" t="str">
        <x:v>Supplementary statement inputs</x:v>
      </x:c>
      <x:c r="B50" s="33"/>
      <x:c r="C50" s="41"/>
      <x:c r="D50" s="41"/>
      <x:c r="E50" s="41"/>
      <x:c r="F50" s="41"/>
      <x:c r="G50" s="41"/>
      <x:c r="H50" s="33"/>
      <x:c r="I50" s="33"/>
      <x:c r="J50" s="33"/>
      <x:c r="K50" s="33"/>
      <x:c r="L50" s="33"/>
    </x:row>
    <x:row r="51" ht="19" customHeight="1">
      <x:c r="A51" s="21" t="str">
        <x:v>Equity share capital</x:v>
      </x:c>
      <x:c r="B51" s="21"/>
      <x:c r="C51" s="38" t="n">
        <x:v>164.28</x:v>
      </x:c>
      <x:c r="D51" s="38" t="n">
        <x:v>164.48</x:v>
      </x:c>
      <x:c r="E51" s="38" t="n">
        <x:v>168.06</x:v>
      </x:c>
      <x:c r="F51" s="38" t="n">
        <x:v>168.25</x:v>
      </x:c>
      <x:c r="G51" s="38" t="n">
        <x:v>170.48</x:v>
      </x:c>
      <x:c r="H51" s="21"/>
      <x:c r="I51" s="21"/>
      <x:c r="J51" s="21"/>
      <x:c r="K51" s="21"/>
      <x:c r="L51" s="21"/>
    </x:row>
    <x:row r="52" ht="19" customHeight="1">
      <x:c r="A52" s="21" t="str">
        <x:v>Opening cash</x:v>
      </x:c>
      <x:c r="B52" s="21"/>
      <x:c r="C52" s="38" t="n">
        <x:v>1447.85</x:v>
      </x:c>
      <x:c r="D52" s="38" t="n">
        <x:v>2657.88</x:v>
      </x:c>
      <x:c r="E52" s="38" t="n">
        <x:v>910.29</x:v>
      </x:c>
      <x:c r="F52" s="38" t="n">
        <x:v>841.97</x:v>
      </x:c>
      <x:c r="G52" s="38" t="n">
        <x:v>5278.19</x:v>
      </x:c>
      <x:c r="H52" s="21"/>
      <x:c r="I52" s="21"/>
      <x:c r="J52" s="21"/>
      <x:c r="K52" s="21"/>
      <x:c r="L52" s="21"/>
    </x:row>
    <x:row r="53" ht="19" customHeight="1">
      <x:c r="A53" s="21" t="str">
        <x:v>Opening net loans</x:v>
      </x:c>
      <x:c r="B53" s="21"/>
      <x:c r="C53" s="38"/>
      <x:c r="D53" s="38" t="n">
        <x:v>74149.21</x:v>
      </x:c>
      <x:c r="E53" s="38" t="n">
        <x:v>104748.32</x:v>
      </x:c>
      <x:c r="F53" s="38" t="n">
        <x:v>144424.29</x:v>
      </x:c>
      <x:c r="G53" s="38" t="n">
        <x:v>181929.9</x:v>
      </x:c>
      <x:c r="H53" s="21"/>
      <x:c r="I53" s="21"/>
      <x:c r="J53" s="21"/>
      <x:c r="K53" s="21"/>
      <x:c r="L53" s="21"/>
    </x:row>
    <x:row r="54" ht="19" customHeight="1">
      <x:c r="A54" s="21" t="str">
        <x:v>Funding cost (reported)</x:v>
      </x:c>
      <x:c r="B54" s="21"/>
      <x:c r="C54" s="26"/>
      <x:c r="D54" s="26"/>
      <x:c r="E54" s="26"/>
      <x:c r="F54" s="26" t="n">
        <x:v>0.08</x:v>
      </x:c>
      <x:c r="G54" s="26" t="n">
        <x:v>0.075</x:v>
      </x:c>
      <x:c r="H54" s="21"/>
      <x:c r="I54" s="21"/>
      <x:c r="J54" s="21"/>
      <x:c r="K54" s="21"/>
      <x:c r="L54" s="21"/>
    </x:row>
    <x:row r="55" ht="19" customHeight="1">
      <x:c r="A55" s="21" t="str">
        <x:v>Shares outstanding (crore)</x:v>
      </x:c>
      <x:c r="B55" s="21"/>
      <x:c r="C55" s="38"/>
      <x:c r="D55" s="38"/>
      <x:c r="E55" s="38"/>
      <x:c r="F55" s="38"/>
      <x:c r="G55" s="38" t="n">
        <x:v>85.2037169</x:v>
      </x:c>
      <x:c r="H55" s="21"/>
      <x:c r="I55" s="21"/>
      <x:c r="J55" s="21"/>
      <x:c r="K55" s="21"/>
      <x:c r="L55" s="21"/>
    </x:row>
    <x:row r="56" ht="19" customHeight="1">
      <x:c r="A56" s="21" t="str">
        <x:v>CCDs converting in FY2027</x:v>
      </x:c>
      <x:c r="B56" s="21"/>
      <x:c r="C56" s="38"/>
      <x:c r="D56" s="38"/>
      <x:c r="E56" s="38"/>
      <x:c r="F56" s="38"/>
      <x:c r="G56" s="38" t="n">
        <x:v>630</x:v>
      </x:c>
      <x:c r="H56" s="21"/>
      <x:c r="I56" s="21"/>
      <x:c r="J56" s="21"/>
      <x:c r="K56" s="21"/>
      <x:c r="L56" s="21"/>
    </x:row>
    <x:row r="57" ht="19" customHeight="1">
      <x:c r="A57" s="21" t="str">
        <x:v>CCD floor price before discount</x:v>
      </x:c>
      <x:c r="B57" s="21"/>
      <x:c r="C57" s="38"/>
      <x:c r="D57" s="38"/>
      <x:c r="E57" s="38"/>
      <x:c r="F57" s="38"/>
      <x:c r="G57" s="38" t="n">
        <x:v>1200.51</x:v>
      </x:c>
      <x:c r="H57" s="21"/>
      <x:c r="I57" s="21"/>
      <x:c r="J57" s="21"/>
      <x:c r="K57" s="21"/>
      <x:c r="L57" s="21"/>
    </x:row>
    <x:row r="58" ht="19" customHeight="1">
      <x:c r="A58" s="21" t="str">
        <x:v>Maximum floor-price discount</x:v>
      </x:c>
      <x:c r="B58" s="21"/>
      <x:c r="C58" s="26"/>
      <x:c r="D58" s="26"/>
      <x:c r="E58" s="26"/>
      <x:c r="F58" s="26"/>
      <x:c r="G58" s="26" t="n">
        <x:v>0.05</x:v>
      </x:c>
      <x:c r="H58" s="21"/>
      <x:c r="I58" s="21"/>
      <x:c r="J58" s="21"/>
      <x:c r="K58" s="21"/>
      <x:c r="L58" s="21"/>
    </x:row>
    <x:row r="59" ht="19" customHeight="1">
      <x:c r="A59" s="21" t="str">
        <x:v>Share face value</x:v>
      </x:c>
      <x:c r="B59" s="21"/>
      <x:c r="C59" s="38" t="n">
        <x:v>2</x:v>
      </x:c>
      <x:c r="D59" s="38" t="n">
        <x:v>2</x:v>
      </x:c>
      <x:c r="E59" s="38" t="n">
        <x:v>2</x:v>
      </x:c>
      <x:c r="F59" s="38" t="n">
        <x:v>2</x:v>
      </x:c>
      <x:c r="G59" s="38" t="n">
        <x:v>2</x:v>
      </x:c>
      <x:c r="H59" s="21"/>
      <x:c r="I59" s="21"/>
      <x:c r="J59" s="21"/>
      <x:c r="K59" s="21"/>
      <x:c r="L59" s="21"/>
    </x:row>
    <x:row r="60" ht="8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 ht="19" customHeight="1">
      <x:c r="A61" s="91" t="str">
        <x:v>Standalone audited statements. AUM and net loans are different measures.</x:v>
      </x:c>
      <x:c r="B61" s="91"/>
      <x:c r="C61" s="91"/>
      <x:c r="D61" s="91"/>
      <x:c r="E61" s="91"/>
      <x:c r="F61" s="91"/>
      <x:c r="G61" s="91"/>
      <x:c r="H61" s="91"/>
      <x:c r="I61" s="91"/>
      <x:c r="J61" s="91"/>
      <x:c r="K61" s="91"/>
      <x:c r="L61" s="91"/>
    </x:row>
    <x:row r="62" ht="19" customHeight="1">
      <x:c r="A62" s="91" t="str">
        <x:v>Reported NIM includes fees and other income after funding costs. Regulatory ratios are disclosed figures.</x:v>
      </x:c>
      <x:c r="B62" s="91"/>
      <x:c r="C62" s="91"/>
      <x:c r="D62" s="91"/>
      <x:c r="E62" s="91"/>
      <x:c r="F62" s="91"/>
      <x:c r="G62" s="91"/>
      <x:c r="H62" s="91"/>
      <x:c r="I62" s="91"/>
      <x:c r="J62" s="91"/>
      <x:c r="K62" s="91"/>
      <x:c r="L62" s="91"/>
    </x:row>
    <x:row r="63" ht="8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 ht="8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 ht="8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7" customHeight="1">
      <x:c r="A1" s="94" t="str">
        <x:v>Historical Analysis</x:v>
      </x:c>
      <x:c r="B1" s="94"/>
      <x:c r="C1" s="95"/>
      <x:c r="D1" s="95"/>
      <x:c r="E1" s="95"/>
      <x:c r="F1" s="95"/>
      <x:c r="G1" s="95"/>
      <x:c r="H1" s="95"/>
      <x:c r="I1" s="95"/>
      <x:c r="J1" s="95"/>
      <x:c r="K1" s="95"/>
      <x:c r="L1" s="95"/>
    </x:row>
    <x:row r="2" ht="8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9" customHeight="1">
      <x:c r="A3" s="21" t="str">
        <x:v>Standalone lender metrics | INR crore except percentages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8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19" customHeight="1">
      <x:c r="A5" s="32" t="str">
        <x:v>Metric</x:v>
      </x:c>
      <x:c r="B5" s="32" t="str"/>
      <x:c r="C5" s="32" t="str">
        <x:v>FY2022A</x:v>
      </x:c>
      <x:c r="D5" s="32" t="str">
        <x:v>FY2023A</x:v>
      </x:c>
      <x:c r="E5" s="32" t="str">
        <x:v>FY2024A</x:v>
      </x:c>
      <x:c r="F5" s="32" t="str">
        <x:v>FY2025A</x:v>
      </x:c>
      <x:c r="G5" s="32" t="str">
        <x:v>FY2026A</x:v>
      </x:c>
      <x:c r="H5" s="32"/>
      <x:c r="I5" s="32"/>
      <x:c r="J5" s="32"/>
      <x:c r="K5" s="32"/>
      <x:c r="L5" s="32"/>
    </x:row>
    <x:row r="6" ht="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 ht="19" customHeight="1">
      <x:c r="A7" s="21" t="str">
        <x:v>AUM growth</x:v>
      </x:c>
      <x:c r="B7" s="21"/>
      <x:c r="C7" s="18" t="str">
        <x:f>"n.a."</x:f>
        <x:v>n.a.</x:v>
      </x:c>
      <x:c r="D7" s="9" t="n">
        <x:f>'02_Raw_Financials'!D34/'02_Raw_Financials'!C34-1</x:f>
        <x:v>0.36039274341406924</x:v>
      </x:c>
      <x:c r="E7" s="9" t="n">
        <x:f>'02_Raw_Financials'!E34/'02_Raw_Financials'!D34-1</x:f>
        <x:v>0.3629657214803781</x:v>
      </x:c>
      <x:c r="F7" s="9" t="n">
        <x:f>'02_Raw_Financials'!F34/'02_Raw_Financials'!E34-1</x:f>
        <x:v>0.3002771308499981</x:v>
      </x:c>
      <x:c r="G7" s="9" t="n">
        <x:f>'02_Raw_Financials'!G34/'02_Raw_Financials'!F34-1</x:f>
        <x:v>0.2139026196241669</x:v>
      </x:c>
      <x:c r="H7" s="21"/>
      <x:c r="I7" s="21"/>
      <x:c r="J7" s="21"/>
      <x:c r="K7" s="21"/>
      <x:c r="L7" s="21"/>
    </x:row>
    <x:row r="8" ht="19" customHeight="1">
      <x:c r="A8" s="21" t="str">
        <x:v>Net loan growth</x:v>
      </x:c>
      <x:c r="B8" s="21"/>
      <x:c r="C8" s="18" t="str">
        <x:f>"n.a."</x:f>
        <x:v>n.a.</x:v>
      </x:c>
      <x:c r="D8" s="9" t="n">
        <x:f>'02_Raw_Financials'!D22/'02_Raw_Financials'!C22-1</x:f>
        <x:v>0.4126693999841671</x:v>
      </x:c>
      <x:c r="E8" s="9" t="n">
        <x:f>'02_Raw_Financials'!E22/'02_Raw_Financials'!D22-1</x:f>
        <x:v>0.3787742848763589</x:v>
      </x:c>
      <x:c r="F8" s="9" t="n">
        <x:f>'02_Raw_Financials'!F22/'02_Raw_Financials'!E22-1</x:f>
        <x:v>0.25969045788627376</x:v>
      </x:c>
      <x:c r="G8" s="9" t="n">
        <x:f>'02_Raw_Financials'!G22/'02_Raw_Financials'!F22-1</x:f>
        <x:v>0.19590655521714684</x:v>
      </x:c>
      <x:c r="H8" s="21"/>
      <x:c r="I8" s="21"/>
      <x:c r="J8" s="21"/>
      <x:c r="K8" s="21"/>
      <x:c r="L8" s="21"/>
    </x:row>
    <x:row r="9" ht="19" customHeight="1">
      <x:c r="A9" s="21" t="str">
        <x:v>Net income margin (reported)</x:v>
      </x:c>
      <x:c r="B9" s="21"/>
      <x:c r="C9" s="9" t="n">
        <x:f>'02_Raw_Financials'!C39</x:f>
        <x:v>0.079</x:v>
      </x:c>
      <x:c r="D9" s="9" t="n">
        <x:f>'02_Raw_Financials'!D39</x:f>
        <x:v>0.077</x:v>
      </x:c>
      <x:c r="E9" s="9" t="n">
        <x:f>'02_Raw_Financials'!E39</x:f>
        <x:v>0.075</x:v>
      </x:c>
      <x:c r="F9" s="9" t="n">
        <x:f>'02_Raw_Financials'!F39</x:f>
        <x:v>0.077</x:v>
      </x:c>
      <x:c r="G9" s="9" t="n">
        <x:f>'02_Raw_Financials'!G39</x:f>
        <x:v>0.08</x:v>
      </x:c>
      <x:c r="H9" s="21"/>
      <x:c r="I9" s="21"/>
      <x:c r="J9" s="21"/>
      <x:c r="K9" s="21"/>
      <x:c r="L9" s="21"/>
    </x:row>
    <x:row r="10" ht="19" customHeight="1">
      <x:c r="A10" s="21" t="str">
        <x:v>Credit cost / average net loans</x:v>
      </x:c>
      <x:c r="B10" s="21"/>
      <x:c r="C10" s="18" t="str">
        <x:f>"n.a."</x:f>
        <x:v>n.a.</x:v>
      </x:c>
      <x:c r="D10" s="9" t="n">
        <x:f>'02_Raw_Financials'!D12/AVERAGE('02_Raw_Financials'!C22,'02_Raw_Financials'!D22)</x:f>
        <x:v>0.009499069103972534</x:v>
      </x:c>
      <x:c r="E10" s="9" t="n">
        <x:f>'02_Raw_Financials'!E12/AVERAGE('02_Raw_Financials'!D22,'02_Raw_Financials'!E22)</x:f>
        <x:v>0.010609512819246063</x:v>
      </x:c>
      <x:c r="F10" s="9" t="n">
        <x:f>'02_Raw_Financials'!F12/AVERAGE('02_Raw_Financials'!E22,'02_Raw_Financials'!F22)</x:f>
        <x:v>0.015285601205242685</x:v>
      </x:c>
      <x:c r="G10" s="9" t="n">
        <x:f>'02_Raw_Financials'!G12/AVERAGE('02_Raw_Financials'!F22,'02_Raw_Financials'!G22)</x:f>
        <x:v>0.017701229628777456</x:v>
      </x:c>
      <x:c r="H10" s="21"/>
      <x:c r="I10" s="21"/>
      <x:c r="J10" s="21"/>
      <x:c r="K10" s="21"/>
      <x:c r="L10" s="21"/>
    </x:row>
    <x:row r="11" ht="19" customHeight="1">
      <x:c r="A11" s="21" t="str">
        <x:v>Gross NPA (RBI)</x:v>
      </x:c>
      <x:c r="B11" s="21"/>
      <x:c r="C11" s="9" t="n">
        <x:f>'02_Raw_Financials'!C36</x:f>
        <x:v>0.068</x:v>
      </x:c>
      <x:c r="D11" s="9" t="n">
        <x:f>'02_Raw_Financials'!D36</x:f>
        <x:v>0.046</x:v>
      </x:c>
      <x:c r="E11" s="9" t="n">
        <x:f>'02_Raw_Financials'!E36</x:f>
        <x:v>0.035</x:v>
      </x:c>
      <x:c r="F11" s="9" t="n">
        <x:f>'02_Raw_Financials'!F36</x:f>
        <x:v>0.04</x:v>
      </x:c>
      <x:c r="G11" s="9" t="n">
        <x:f>'02_Raw_Financials'!G36</x:f>
        <x:v>0.044</x:v>
      </x:c>
      <x:c r="H11" s="21"/>
      <x:c r="I11" s="21"/>
      <x:c r="J11" s="21"/>
      <x:c r="K11" s="21"/>
      <x:c r="L11" s="21"/>
    </x:row>
    <x:row r="12" ht="19" customHeight="1">
      <x:c r="A12" s="21" t="str">
        <x:v>Stage 3 (Ind AS)</x:v>
      </x:c>
      <x:c r="B12" s="21"/>
      <x:c r="C12" s="9" t="n">
        <x:f>'02_Raw_Financials'!C38</x:f>
        <x:v>0.044</x:v>
      </x:c>
      <x:c r="D12" s="9" t="n">
        <x:f>'02_Raw_Financials'!D38</x:f>
        <x:v>0.03</x:v>
      </x:c>
      <x:c r="E12" s="9" t="n">
        <x:f>'02_Raw_Financials'!E38</x:f>
        <x:v>0.025</x:v>
      </x:c>
      <x:c r="F12" s="9" t="n">
        <x:f>'02_Raw_Financials'!F38</x:f>
        <x:v>0.028</x:v>
      </x:c>
      <x:c r="G12" s="9" t="n">
        <x:f>'02_Raw_Financials'!G38</x:f>
        <x:v>0.03</x:v>
      </x:c>
      <x:c r="H12" s="21"/>
      <x:c r="I12" s="21"/>
      <x:c r="J12" s="21"/>
      <x:c r="K12" s="21"/>
      <x:c r="L12" s="21"/>
    </x:row>
    <x:row r="13" ht="19" customHeight="1">
      <x:c r="A13" s="21" t="str">
        <x:v>Tier 1 capital (reported)</x:v>
      </x:c>
      <x:c r="B13" s="21"/>
      <x:c r="C13" s="9" t="n">
        <x:f>'02_Raw_Financials'!C40</x:f>
        <x:v>0.165</x:v>
      </x:c>
      <x:c r="D13" s="9" t="n">
        <x:f>'02_Raw_Financials'!D40</x:f>
        <x:v>0.148</x:v>
      </x:c>
      <x:c r="E13" s="9" t="n">
        <x:f>'02_Raw_Financials'!E40</x:f>
        <x:v>0.151</x:v>
      </x:c>
      <x:c r="F13" s="9" t="n">
        <x:f>'02_Raw_Financials'!F40</x:f>
        <x:v>0.144</x:v>
      </x:c>
      <x:c r="G13" s="9" t="n">
        <x:f>'02_Raw_Financials'!G40</x:f>
        <x:v>0.147</x:v>
      </x:c>
      <x:c r="H13" s="21"/>
      <x:c r="I13" s="21"/>
      <x:c r="J13" s="21"/>
      <x:c r="K13" s="21"/>
      <x:c r="L13" s="21"/>
    </x:row>
    <x:row r="14" ht="19" customHeight="1">
      <x:c r="A14" s="21" t="str">
        <x:v>Total CAR (reported)</x:v>
      </x:c>
      <x:c r="B14" s="21"/>
      <x:c r="C14" s="9" t="n">
        <x:f>'02_Raw_Financials'!C41</x:f>
        <x:v>0.196</x:v>
      </x:c>
      <x:c r="D14" s="9" t="n">
        <x:f>'02_Raw_Financials'!D41</x:f>
        <x:v>0.171</x:v>
      </x:c>
      <x:c r="E14" s="9" t="n">
        <x:f>'02_Raw_Financials'!E41</x:f>
        <x:v>0.186</x:v>
      </x:c>
      <x:c r="F14" s="9" t="n">
        <x:f>'02_Raw_Financials'!F41</x:f>
        <x:v>0.198</x:v>
      </x:c>
      <x:c r="G14" s="9" t="n">
        <x:f>'02_Raw_Financials'!G41</x:f>
        <x:v>0.192</x:v>
      </x:c>
      <x:c r="H14" s="21"/>
      <x:c r="I14" s="21"/>
      <x:c r="J14" s="21"/>
      <x:c r="K14" s="21"/>
      <x:c r="L14" s="21"/>
    </x:row>
    <x:row r="15" ht="19" customHeight="1">
      <x:c r="A15" s="21" t="str">
        <x:v>Pre-tax ROA (reported)</x:v>
      </x:c>
      <x:c r="B15" s="21"/>
      <x:c r="C15" s="9" t="n">
        <x:f>'02_Raw_Financials'!C42</x:f>
        <x:v>0.039</x:v>
      </x:c>
      <x:c r="D15" s="9" t="n">
        <x:f>'02_Raw_Financials'!D42</x:f>
        <x:v>0.038</x:v>
      </x:c>
      <x:c r="E15" s="9" t="n">
        <x:f>'02_Raw_Financials'!E42</x:f>
        <x:v>0.034</x:v>
      </x:c>
      <x:c r="F15" s="9" t="n">
        <x:f>'02_Raw_Financials'!F42</x:f>
        <x:v>0.033</x:v>
      </x:c>
      <x:c r="G15" s="9" t="n">
        <x:f>'02_Raw_Financials'!G42</x:f>
        <x:v>0.033</x:v>
      </x:c>
      <x:c r="H15" s="21"/>
      <x:c r="I15" s="21"/>
      <x:c r="J15" s="21"/>
      <x:c r="K15" s="21"/>
      <x:c r="L15" s="21"/>
    </x:row>
    <x:row r="16" ht="19" customHeight="1">
      <x:c r="A16" s="21" t="str">
        <x:v>ROE (reported)</x:v>
      </x:c>
      <x:c r="B16" s="21"/>
      <x:c r="C16" s="9" t="n">
        <x:f>'02_Raw_Financials'!C43</x:f>
        <x:v>0.204</x:v>
      </x:c>
      <x:c r="D16" s="9" t="n">
        <x:f>'02_Raw_Financials'!D43</x:f>
        <x:v>0.206</x:v>
      </x:c>
      <x:c r="E16" s="9" t="n">
        <x:f>'02_Raw_Financials'!E43</x:f>
        <x:v>0.206</x:v>
      </x:c>
      <x:c r="F16" s="9" t="n">
        <x:f>'02_Raw_Financials'!F43</x:f>
        <x:v>0.198</x:v>
      </x:c>
      <x:c r="G16" s="9" t="n">
        <x:f>'02_Raw_Financials'!G43</x:f>
        <x:v>0.197</x:v>
      </x:c>
      <x:c r="H16" s="21"/>
      <x:c r="I16" s="21"/>
      <x:c r="J16" s="21"/>
      <x:c r="K16" s="21"/>
      <x:c r="L16" s="21"/>
    </x:row>
    <x:row r="17" ht="8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 ht="8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 ht="8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 ht="8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 ht="8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 ht="19" customHeight="1">
      <x:c r="A22" s="91" t="str">
        <x:v>Historical credit cost uses average net loans. Management guidance uses a different average-asset base.</x:v>
      </x:c>
      <x:c r="B22" s="91"/>
      <x:c r="C22" s="91"/>
      <x:c r="D22" s="91"/>
      <x:c r="E22" s="91"/>
      <x:c r="F22" s="91"/>
      <x:c r="G22" s="91"/>
      <x:c r="H22" s="91"/>
      <x:c r="I22" s="91"/>
      <x:c r="J22" s="91"/>
      <x:c r="K22" s="91"/>
      <x:c r="L22" s="91"/>
    </x:row>
    <x:row r="23" ht="8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 ht="8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 ht="8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 ht="8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 ht="8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 ht="8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 ht="8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 ht="8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 ht="8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 ht="8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 ht="8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 ht="8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 ht="8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 ht="8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 ht="8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 ht="8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 ht="8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 ht="8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 ht="8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 ht="8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 ht="8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 ht="8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 ht="8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 ht="8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 ht="8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 ht="8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 ht="8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 ht="8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 ht="8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 ht="8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 ht="8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 ht="8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 ht="8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 ht="8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 ht="8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 ht="8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 ht="8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 ht="8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 ht="8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 ht="8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 ht="8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 ht="8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 ht="8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65" hidden="0" customWidth="1"/>
    <x:col min="3" max="3" width="6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7" customHeight="1">
      <x:c r="A1" s="92" t="str">
        <x:v>Industry and Business Context</x:v>
      </x:c>
      <x:c r="B1" s="92"/>
      <x:c r="C1" s="93"/>
      <x:c r="D1" s="93"/>
      <x:c r="E1" s="93"/>
      <x:c r="F1" s="93"/>
      <x:c r="G1" s="93"/>
      <x:c r="H1" s="93"/>
      <x:c r="I1" s="93"/>
      <x:c r="J1" s="93"/>
      <x:c r="K1" s="93"/>
      <x:c r="L1" s="93"/>
    </x:row>
    <x:row r="2" ht="8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9" customHeight="1">
      <x:c r="A3" s="2" t="str">
        <x:v>Operating context for lending assumptions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19" customHeight="1">
      <x:c r="A5" s="74" t="str">
        <x:v>Context</x:v>
      </x:c>
      <x:c r="B5" s="74" t="str">
        <x:v>Management / MDA commentary</x:v>
      </x:c>
      <x:c r="C5" s="74" t="str">
        <x:v>Model treatment</x:v>
      </x:c>
      <x:c r="D5" s="74"/>
      <x:c r="E5"/>
      <x:c r="F5"/>
      <x:c r="G5"/>
      <x:c r="H5"/>
      <x:c r="I5"/>
      <x:c r="J5"/>
      <x:c r="K5"/>
      <x:c r="L5"/>
    </x:row>
    <x:row r="6" ht="8" customHeight="1">
      <x:c r="A6"/>
      <x:c r="B6"/>
      <x:c r="C6"/>
      <x:c r="D6"/>
      <x:c r="E6"/>
      <x:c r="F6"/>
      <x:c r="G6"/>
      <x:c r="H6"/>
      <x:c r="I6"/>
      <x:c r="J6"/>
      <x:c r="K6"/>
      <x:c r="L6"/>
    </x:row>
    <x:row r="7" ht="60" customHeight="1">
      <x:c r="A7" s="71" t="str">
        <x:v>Growth</x:v>
      </x:c>
      <x:c r="B7" s="71" t="str">
        <x:v>July 2026 call maintained 22%-23% growth; MDA emphasises disciplined growth.</x:v>
      </x:c>
      <x:c r="C7" s="71" t="str">
        <x:v>FY2027 22%; fades to 16% by FY2031.</x:v>
      </x:c>
      <x:c r="D7"/>
      <x:c r="E7"/>
      <x:c r="F7"/>
      <x:c r="G7"/>
      <x:c r="H7"/>
      <x:c r="I7"/>
      <x:c r="J7"/>
      <x:c r="K7"/>
      <x:c r="L7"/>
    </x:row>
    <x:row r="8" ht="8" customHeight="1">
      <x:c r="A8"/>
      <x:c r="B8"/>
      <x:c r="C8"/>
      <x:c r="D8"/>
      <x:c r="E8"/>
      <x:c r="F8"/>
      <x:c r="G8"/>
      <x:c r="H8"/>
      <x:c r="I8"/>
      <x:c r="J8"/>
      <x:c r="K8"/>
      <x:c r="L8"/>
    </x:row>
    <x:row r="9" ht="8" customHeight="1">
      <x:c r="A9"/>
      <x:c r="B9"/>
      <x:c r="C9"/>
      <x:c r="D9"/>
      <x:c r="E9"/>
      <x:c r="F9"/>
      <x:c r="G9"/>
      <x:c r="H9"/>
      <x:c r="I9"/>
      <x:c r="J9"/>
      <x:c r="K9"/>
      <x:c r="L9"/>
    </x:row>
    <x:row r="10" ht="60" customHeight="1">
      <x:c r="A10" s="71" t="str">
        <x:v>Profitability</x:v>
      </x:c>
      <x:c r="B10" s="71" t="str">
        <x:v>May call: 8% net income margin; 3.0%-3.1% opex; around 1.5% credit cost.</x:v>
      </x:c>
      <x:c r="C10" s="71" t="str">
        <x:v>8%, 3.05% and 1.5% on the same calibrated average-asset base.</x:v>
      </x:c>
      <x:c r="D10"/>
      <x:c r="E10"/>
      <x:c r="F10"/>
      <x:c r="G10"/>
      <x:c r="H10"/>
      <x:c r="I10"/>
      <x:c r="J10"/>
      <x:c r="K10"/>
      <x:c r="L10"/>
    </x:row>
    <x:row r="11" ht="8" customHeight="1">
      <x:c r="A11"/>
      <x:c r="B11"/>
      <x:c r="C11"/>
      <x:c r="D11"/>
      <x:c r="E11"/>
      <x:c r="F11"/>
      <x:c r="G11"/>
      <x:c r="H11"/>
      <x:c r="I11"/>
      <x:c r="J11"/>
      <x:c r="K11"/>
      <x:c r="L11"/>
    </x:row>
    <x:row r="12" ht="8" customHeight="1">
      <x:c r="A12"/>
      <x:c r="B12"/>
      <x:c r="C12"/>
      <x:c r="D12"/>
      <x:c r="E12"/>
      <x:c r="F12"/>
      <x:c r="G12"/>
      <x:c r="H12"/>
      <x:c r="I12"/>
      <x:c r="J12"/>
      <x:c r="K12"/>
      <x:c r="L12"/>
    </x:row>
    <x:row r="13" ht="60" customHeight="1">
      <x:c r="A13" s="71" t="str">
        <x:v>Funding</x:v>
      </x:c>
      <x:c r="B13" s="71" t="str">
        <x:v>MDA: FY2026 cost 7.5% of average borrowings. July: broadly flat FY2027.</x:v>
      </x:c>
      <x:c r="C13" s="71" t="str">
        <x:v>7.5% FY2027; 7.6% thereafter as an analyst buffer.</x:v>
      </x:c>
      <x:c r="D13"/>
      <x:c r="E13"/>
      <x:c r="F13"/>
      <x:c r="G13"/>
      <x:c r="H13"/>
      <x:c r="I13"/>
      <x:c r="J13"/>
      <x:c r="K13"/>
      <x:c r="L13"/>
    </x:row>
    <x:row r="14" ht="8" customHeight="1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 ht="8" customHeight="1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 ht="60" customHeight="1">
      <x:c r="A16" s="71" t="str">
        <x:v>Industry demand</x:v>
      </x:c>
      <x:c r="B16" s="71" t="str">
        <x:v>MDA expects moderation in vehicle growth and continued secured-credit demand.</x:v>
      </x:c>
      <x:c r="C16" s="71" t="str">
        <x:v>Growth decelerates after FY2027; no extra margin expansion.</x:v>
      </x:c>
      <x:c r="D16"/>
      <x:c r="E16"/>
      <x:c r="F16"/>
      <x:c r="G16"/>
      <x:c r="H16"/>
      <x:c r="I16"/>
      <x:c r="J16"/>
      <x:c r="K16"/>
      <x:c r="L16"/>
    </x:row>
    <x:row r="17" ht="8" customHeight="1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 ht="8" customHeight="1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 ht="60" customHeight="1">
      <x:c r="A19" s="71" t="str">
        <x:v>Asset quality</x:v>
      </x:c>
      <x:c r="B19" s="71" t="str">
        <x:v>MDA discusses geopolitical and borrower cash-flow risk. FY2026 overlay Rs 200 crore.</x:v>
      </x:c>
      <x:c r="C19" s="71" t="str">
        <x:v>No automatic overlay release and no credit-cost improvement below 1.5%.</x:v>
      </x:c>
      <x:c r="D19"/>
      <x:c r="E19"/>
      <x:c r="F19"/>
      <x:c r="G19"/>
      <x:c r="H19"/>
      <x:c r="I19"/>
      <x:c r="J19"/>
      <x:c r="K19"/>
      <x:c r="L19"/>
    </x:row>
    <x:row r="20" ht="8" customHeight="1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 ht="8" customHeight="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 ht="60" customHeight="1">
      <x:c r="A22" s="71" t="str">
        <x:v>Capital</x:v>
      </x:c>
      <x:c r="B22" s="71" t="str">
        <x:v>FY2026 CAR 19.21%, Tier 1 14.73%; Rs 630 crore CCD conversion due FY2027.</x:v>
      </x:c>
      <x:c r="C22" s="71" t="str">
        <x:v>Historical regulatory ratios retained. Forecast uses book-equity intensity and includes CCD dilution.</x:v>
      </x:c>
      <x:c r="D22"/>
      <x:c r="E22"/>
      <x:c r="F22"/>
      <x:c r="G22"/>
      <x:c r="H22"/>
      <x:c r="I22"/>
      <x:c r="J22"/>
      <x:c r="K22"/>
      <x:c r="L22"/>
    </x:row>
    <x:row r="23" ht="8" customHeight="1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 ht="8" customHeight="1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 ht="8" customHeight="1">
      <x:c r="A25"/>
      <x:c r="B25"/>
      <x:c r="C25"/>
      <x:c r="D25"/>
      <x:c r="E25"/>
      <x:c r="F25"/>
      <x:c r="G25"/>
      <x:c r="H25"/>
      <x:c r="I25"/>
      <x:c r="J25"/>
      <x:c r="K25"/>
      <x:c r="L25"/>
    </x:row>
    <x:row r="26" ht="8" customHeight="1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 ht="8" customHeight="1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 ht="8" customHeight="1">
      <x:c r="A28"/>
      <x:c r="B28"/>
      <x:c r="C28"/>
      <x:c r="D28"/>
      <x:c r="E28"/>
      <x:c r="F28"/>
      <x:c r="G28"/>
      <x:c r="H28"/>
      <x:c r="I28"/>
      <x:c r="J28"/>
      <x:c r="K28"/>
      <x:c r="L28"/>
    </x:row>
    <x:row r="29" ht="8" customHeight="1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 ht="8" customHeight="1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 ht="8" customHeight="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 ht="8" customHeight="1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 ht="8" customHeight="1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 ht="8" customHeight="1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 ht="8" customHeight="1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 ht="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19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19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19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19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19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19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19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19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19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19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19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19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19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19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19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19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19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19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19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19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19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19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19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19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19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19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19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19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19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19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19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19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19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19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19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19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19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19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19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19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19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19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19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19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19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19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19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19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19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19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19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19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19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19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19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19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 ht="19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19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ht="19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19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ht="19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 ht="19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 ht="19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ht="19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 ht="19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 ht="19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 ht="19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 ht="19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19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 ht="19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 ht="19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ht="19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  <x:row r="138" ht="19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</x:row>
    <x:row r="139" ht="19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</x:row>
    <x:row r="140" ht="19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7" customHeight="1">
      <x:c r="A1" s="94" t="str">
        <x:v>Forecast Assumptions</x:v>
      </x:c>
      <x:c r="B1" s="94"/>
      <x:c r="C1" s="95"/>
      <x:c r="D1" s="95"/>
      <x:c r="E1" s="95"/>
      <x:c r="F1" s="95"/>
      <x:c r="G1" s="95"/>
      <x:c r="H1" s="95"/>
      <x:c r="I1" s="95"/>
      <x:c r="J1" s="95"/>
      <x:c r="K1" s="95"/>
      <x:c r="L1" s="95"/>
    </x:row>
    <x:row r="2" ht="8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9" customHeight="1">
      <x:c r="A3" s="21" t="str">
        <x:v>Analyst base case | Blue cells are editable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8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19" customHeight="1">
      <x:c r="A5" s="32" t="str">
        <x:v>Metric</x:v>
      </x:c>
      <x:c r="B5" s="32" t="str"/>
      <x:c r="C5" s="32" t="str">
        <x:v>FY2022A</x:v>
      </x:c>
      <x:c r="D5" s="32" t="str">
        <x:v>FY2023A</x:v>
      </x:c>
      <x:c r="E5" s="32" t="str">
        <x:v>FY2024A</x:v>
      </x:c>
      <x:c r="F5" s="32" t="str">
        <x:v>FY2025A</x:v>
      </x:c>
      <x:c r="G5" s="32" t="str">
        <x:v>FY2026A</x:v>
      </x:c>
      <x:c r="H5" s="32" t="str">
        <x:v>FY2027E</x:v>
      </x:c>
      <x:c r="I5" s="32" t="str">
        <x:v>FY2028E</x:v>
      </x:c>
      <x:c r="J5" s="32" t="str">
        <x:v>FY2029E</x:v>
      </x:c>
      <x:c r="K5" s="32" t="str">
        <x:v>FY2030E</x:v>
      </x:c>
      <x:c r="L5" s="32" t="str">
        <x:v>FY2031E</x:v>
      </x:c>
    </x:row>
    <x:row r="6" ht="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 ht="19" customHeight="1">
      <x:c r="A7" s="45" t="str">
        <x:v>AUM growth</x:v>
      </x:c>
      <x:c r="B7"/>
      <x:c r="C7" s="47" t="str">
        <x:f>'03_Historical_Analysis'!C7</x:f>
        <x:v>n.a.</x:v>
      </x:c>
      <x:c r="D7" s="47" t="n">
        <x:f>'03_Historical_Analysis'!D7</x:f>
        <x:v>0.36039274341406924</x:v>
      </x:c>
      <x:c r="E7" s="47" t="n">
        <x:f>'03_Historical_Analysis'!E7</x:f>
        <x:v>0.3629657214803781</x:v>
      </x:c>
      <x:c r="F7" s="47" t="n">
        <x:f>'03_Historical_Analysis'!F7</x:f>
        <x:v>0.3002771308499981</x:v>
      </x:c>
      <x:c r="G7" s="47" t="n">
        <x:f>'03_Historical_Analysis'!G7</x:f>
        <x:v>0.2139026196241669</x:v>
      </x:c>
      <x:c r="H7" s="50" t="n">
        <x:v>0.22</x:v>
      </x:c>
      <x:c r="I7" s="50" t="n">
        <x:v>0.2</x:v>
      </x:c>
      <x:c r="J7" s="50" t="n">
        <x:v>0.18</x:v>
      </x:c>
      <x:c r="K7" s="50" t="n">
        <x:v>0.17</x:v>
      </x:c>
      <x:c r="L7" s="50" t="n">
        <x:v>0.16</x:v>
      </x:c>
    </x:row>
    <x:row r="8" ht="19" customHeight="1">
      <x:c r="A8" s="45" t="str">
        <x:v>Net loans / AUM</x:v>
      </x:c>
      <x:c r="B8"/>
      <x:c r="C8" s="47" t="n">
        <x:f>'02_Raw_Financials'!C22/'02_Raw_Financials'!C34</x:f>
        <x:v>0.8943984608704044</x:v>
      </x:c>
      <x:c r="D8" s="47" t="n">
        <x:f>'02_Raw_Financials'!D22/'02_Raw_Financials'!D34</x:f>
        <x:v>0.928768065826107</x:v>
      </x:c>
      <x:c r="E8" s="47" t="n">
        <x:f>'02_Raw_Financials'!E22/'02_Raw_Financials'!E34</x:f>
        <x:v>0.9395405222550385</x:v>
      </x:c>
      <x:c r="F8" s="47" t="n">
        <x:f>'02_Raw_Financials'!F22/'02_Raw_Financials'!F34</x:f>
        <x:v>0.9102138325761973</x:v>
      </x:c>
      <x:c r="G8" s="47" t="n">
        <x:f>'02_Raw_Financials'!G22/'02_Raw_Financials'!G34</x:f>
        <x:v>0.8967199439475745</x:v>
      </x:c>
      <x:c r="H8" s="49" t="n">
        <x:f>$G$8</x:f>
        <x:v>0.8967199439475745</x:v>
      </x:c>
      <x:c r="I8" s="49" t="n">
        <x:f>$G$8</x:f>
        <x:v>0.8967199439475745</x:v>
      </x:c>
      <x:c r="J8" s="49" t="n">
        <x:f>$G$8</x:f>
        <x:v>0.8967199439475745</x:v>
      </x:c>
      <x:c r="K8" s="49" t="n">
        <x:f>$G$8</x:f>
        <x:v>0.8967199439475745</x:v>
      </x:c>
      <x:c r="L8" s="49" t="n">
        <x:f>$G$8</x:f>
        <x:v>0.8967199439475745</x:v>
      </x:c>
    </x:row>
    <x:row r="9" ht="19" customHeight="1">
      <x:c r="A9" s="45" t="str">
        <x:v>Funding cost / average debt</x:v>
      </x:c>
      <x:c r="B9"/>
      <x:c r="C9" s="50"/>
      <x:c r="D9" s="50"/>
      <x:c r="E9" s="50"/>
      <x:c r="F9" s="47" t="n">
        <x:f>'02_Raw_Financials'!F54</x:f>
        <x:v>0.08</x:v>
      </x:c>
      <x:c r="G9" s="47" t="n">
        <x:f>'02_Raw_Financials'!G54</x:f>
        <x:v>0.075</x:v>
      </x:c>
      <x:c r="H9" s="50" t="n">
        <x:v>0.075</x:v>
      </x:c>
      <x:c r="I9" s="50" t="n">
        <x:v>0.076</x:v>
      </x:c>
      <x:c r="J9" s="50" t="n">
        <x:v>0.076</x:v>
      </x:c>
      <x:c r="K9" s="50" t="n">
        <x:v>0.076</x:v>
      </x:c>
      <x:c r="L9" s="50" t="n">
        <x:v>0.076</x:v>
      </x:c>
    </x:row>
    <x:row r="10" ht="19" customHeight="1">
      <x:c r="A10" s="45" t="str">
        <x:v>Net income margin incl. fees</x:v>
      </x:c>
      <x:c r="B10"/>
      <x:c r="C10" s="47" t="n">
        <x:f>'03_Historical_Analysis'!C9</x:f>
        <x:v>0.079</x:v>
      </x:c>
      <x:c r="D10" s="47" t="n">
        <x:f>'03_Historical_Analysis'!D9</x:f>
        <x:v>0.077</x:v>
      </x:c>
      <x:c r="E10" s="47" t="n">
        <x:f>'03_Historical_Analysis'!E9</x:f>
        <x:v>0.075</x:v>
      </x:c>
      <x:c r="F10" s="47" t="n">
        <x:f>'03_Historical_Analysis'!F9</x:f>
        <x:v>0.077</x:v>
      </x:c>
      <x:c r="G10" s="47" t="n">
        <x:f>'03_Historical_Analysis'!G9</x:f>
        <x:v>0.08</x:v>
      </x:c>
      <x:c r="H10" s="50" t="n">
        <x:v>0.08</x:v>
      </x:c>
      <x:c r="I10" s="50" t="n">
        <x:v>0.08</x:v>
      </x:c>
      <x:c r="J10" s="50" t="n">
        <x:v>0.08</x:v>
      </x:c>
      <x:c r="K10" s="50" t="n">
        <x:v>0.08</x:v>
      </x:c>
      <x:c r="L10" s="50" t="n">
        <x:v>0.08</x:v>
      </x:c>
    </x:row>
    <x:row r="11" ht="19" customHeight="1">
      <x:c r="A11" s="45" t="str">
        <x:v>Non-interest income / model asset base</x:v>
      </x:c>
      <x:c r="B11"/>
      <x:c r="C11" s="47" t="n">
        <x:f>'02_Raw_Financials'!C9/'06_Schedules'!C14</x:f>
        <x:v>0.0077371963801059936</x:v>
      </x:c>
      <x:c r="D11" s="47" t="n">
        <x:f>'02_Raw_Financials'!D9/'06_Schedules'!D14</x:f>
        <x:v>0.009541348110379667</x:v>
      </x:c>
      <x:c r="E11" s="47" t="n">
        <x:f>'02_Raw_Financials'!E9/'06_Schedules'!E14</x:f>
        <x:v>0.01203674866083097</x:v>
      </x:c>
      <x:c r="F11" s="47" t="n">
        <x:f>'02_Raw_Financials'!F9/'06_Schedules'!F14</x:f>
        <x:v>0.013248400321004343</x:v>
      </x:c>
      <x:c r="G11" s="47" t="n">
        <x:f>'02_Raw_Financials'!G9/'06_Schedules'!G14</x:f>
        <x:v>0.014397632426200775</x:v>
      </x:c>
      <x:c r="H11" s="49" t="n">
        <x:f>$G$11</x:f>
        <x:v>0.014397632426200775</x:v>
      </x:c>
      <x:c r="I11" s="49" t="n">
        <x:f>$G$11</x:f>
        <x:v>0.014397632426200775</x:v>
      </x:c>
      <x:c r="J11" s="49" t="n">
        <x:f>$G$11</x:f>
        <x:v>0.014397632426200775</x:v>
      </x:c>
      <x:c r="K11" s="49" t="n">
        <x:f>$G$11</x:f>
        <x:v>0.014397632426200775</x:v>
      </x:c>
      <x:c r="L11" s="49" t="n">
        <x:f>$G$11</x:f>
        <x:v>0.014397632426200775</x:v>
      </x:c>
    </x:row>
    <x:row r="12" ht="19" customHeight="1">
      <x:c r="A12" s="45" t="str">
        <x:v>Operating expense incl. D&amp;A / asset base</x:v>
      </x:c>
      <x:c r="B12"/>
      <x:c r="C12" s="77" t="n">
        <x:f>('02_Raw_Financials'!C13+'02_Raw_Financials'!C14+'02_Raw_Financials'!C15)/'06_Schedules'!C14</x:f>
        <x:v>0.02798450157963681</x:v>
      </x:c>
      <x:c r="D12" s="77" t="n">
        <x:f>('02_Raw_Financials'!D13+'02_Raw_Financials'!D14+'02_Raw_Financials'!D15)/'06_Schedules'!D14</x:f>
        <x:v>0.029608854608305448</x:v>
      </x:c>
      <x:c r="E12" s="77" t="n">
        <x:f>('02_Raw_Financials'!E13+'02_Raw_Financials'!E14+'02_Raw_Financials'!E15)/'06_Schedules'!E14</x:f>
        <x:v>0.03065720677731189</x:v>
      </x:c>
      <x:c r="F12" s="77" t="n">
        <x:f>('02_Raw_Financials'!F13+'02_Raw_Financials'!F14+'02_Raw_Financials'!F15)/'06_Schedules'!F14</x:f>
        <x:v>0.030293941522088218</x:v>
      </x:c>
      <x:c r="G12" s="77" t="n">
        <x:f>('02_Raw_Financials'!G13+'02_Raw_Financials'!G14+'02_Raw_Financials'!G15)/'06_Schedules'!G14</x:f>
        <x:v>0.030809155368515764</x:v>
      </x:c>
      <x:c r="H12" s="78" t="n">
        <x:v>0.0305</x:v>
      </x:c>
      <x:c r="I12" s="78" t="n">
        <x:v>0.0305</x:v>
      </x:c>
      <x:c r="J12" s="78" t="n">
        <x:v>0.0305</x:v>
      </x:c>
      <x:c r="K12" s="78" t="n">
        <x:v>0.0305</x:v>
      </x:c>
      <x:c r="L12" s="78" t="n">
        <x:v>0.0305</x:v>
      </x:c>
    </x:row>
    <x:row r="13" ht="19" customHeight="1">
      <x:c r="A13" s="45" t="str">
        <x:v>Credit cost / model asset base</x:v>
      </x:c>
      <x:c r="B13"/>
      <x:c r="C13" s="47" t="n">
        <x:f>'02_Raw_Financials'!C12/'06_Schedules'!C14</x:f>
        <x:v>0.01190826976258358</x:v>
      </x:c>
      <x:c r="D13" s="47" t="n">
        <x:f>'02_Raw_Financials'!D12/'06_Schedules'!D14</x:f>
        <x:v>0.009050114604183295</x:v>
      </x:c>
      <x:c r="E13" s="47" t="n">
        <x:f>'02_Raw_Financials'!E12/'06_Schedules'!E14</x:f>
        <x:v>0.009927726431977023</x:v>
      </x:c>
      <x:c r="F13" s="47" t="n">
        <x:f>'02_Raw_Financials'!F12/'06_Schedules'!F14</x:f>
        <x:v>0.014153227250586042</x:v>
      </x:c>
      <x:c r="G13" s="47" t="n">
        <x:f>'02_Raw_Financials'!G12/'06_Schedules'!G14</x:f>
        <x:v>0.01657034534147519</x:v>
      </x:c>
      <x:c r="H13" s="50" t="n">
        <x:v>0.015</x:v>
      </x:c>
      <x:c r="I13" s="50" t="n">
        <x:v>0.015</x:v>
      </x:c>
      <x:c r="J13" s="50" t="n">
        <x:v>0.015</x:v>
      </x:c>
      <x:c r="K13" s="50" t="n">
        <x:v>0.015</x:v>
      </x:c>
      <x:c r="L13" s="50" t="n">
        <x:v>0.015</x:v>
      </x:c>
    </x:row>
    <x:row r="14" ht="19" customHeight="1">
      <x:c r="A14" s="45" t="str">
        <x:v>Effective tax rate</x:v>
      </x:c>
      <x:c r="B14"/>
      <x:c r="C14" s="47" t="n">
        <x:f>'02_Raw_Financials'!C17/'02_Raw_Financials'!C16</x:f>
        <x:v>0.2574352978615952</x:v>
      </x:c>
      <x:c r="D14" s="47" t="n">
        <x:f>'02_Raw_Financials'!D17/'02_Raw_Financials'!D16</x:f>
        <x:v>0.2593251085510141</x:v>
      </x:c>
      <x:c r="E14" s="47" t="n">
        <x:f>'02_Raw_Financials'!E17/'02_Raw_Financials'!E16</x:f>
        <x:v>0.2530149931254228</x:v>
      </x:c>
      <x:c r="F14" s="47" t="n">
        <x:f>'02_Raw_Financials'!F17/'02_Raw_Financials'!F16</x:f>
        <x:v>0.25769104058484854</x:v>
      </x:c>
      <x:c r="G14" s="47" t="n">
        <x:f>'02_Raw_Financials'!G17/'02_Raw_Financials'!G16</x:f>
        <x:v>0.2501300164064902</x:v>
      </x:c>
      <x:c r="H14" s="50" t="n">
        <x:v>0.2517</x:v>
      </x:c>
      <x:c r="I14" s="50" t="n">
        <x:v>0.2517</x:v>
      </x:c>
      <x:c r="J14" s="50" t="n">
        <x:v>0.2517</x:v>
      </x:c>
      <x:c r="K14" s="50" t="n">
        <x:v>0.2517</x:v>
      </x:c>
      <x:c r="L14" s="50" t="n">
        <x:v>0.2517</x:v>
      </x:c>
    </x:row>
    <x:row r="15" ht="19" customHeight="1">
      <x:c r="A15" s="45" t="str">
        <x:v>Required book equity / net loans</x:v>
      </x:c>
      <x:c r="B15"/>
      <x:c r="C15" s="47" t="n">
        <x:f>'02_Raw_Financials'!C29/'02_Raw_Financials'!C22</x:f>
        <x:v>0.15789352307327345</x:v>
      </x:c>
      <x:c r="D15" s="47" t="n">
        <x:f>'02_Raw_Financials'!D29/'02_Raw_Financials'!D22</x:f>
        <x:v>0.13647999318748022</x:v>
      </x:c>
      <x:c r="E15" s="47" t="n">
        <x:f>'02_Raw_Financials'!E29/'02_Raw_Financials'!E22</x:f>
        <x:v>0.13541011695470337</x:v>
      </x:c>
      <x:c r="F15" s="47" t="n">
        <x:f>'02_Raw_Financials'!F29/'02_Raw_Financials'!F22</x:f>
        <x:v>0.1298709008249881</x:v>
      </x:c>
      <x:c r="G15" s="47" t="n">
        <x:f>'02_Raw_Financials'!G29/'02_Raw_Financials'!G22</x:f>
        <x:v>0.13974287768654634</x:v>
      </x:c>
      <x:c r="H15" s="50" t="n">
        <x:v>0.14</x:v>
      </x:c>
      <x:c r="I15" s="50" t="n">
        <x:v>0.14</x:v>
      </x:c>
      <x:c r="J15" s="50" t="n">
        <x:v>0.14</x:v>
      </x:c>
      <x:c r="K15" s="50" t="n">
        <x:v>0.14</x:v>
      </x:c>
      <x:c r="L15" s="50" t="n">
        <x:v>0.14</x:v>
      </x:c>
    </x:row>
    <x:row r="16" ht="19" customHeight="1">
      <x:c r="A16" s="45" t="str">
        <x:v>Model asset base / average net loans</x:v>
      </x:c>
      <x:c r="B16"/>
      <x:c r="C16" s="50"/>
      <x:c r="D16" s="47" t="n">
        <x:f>'06_Schedules'!D14/'06_Schedules'!D12</x:f>
        <x:v>1.0496076038177147</x:v>
      </x:c>
      <x:c r="E16" s="47" t="n">
        <x:f>'06_Schedules'!E14/'06_Schedules'!E12</x:f>
        <x:v>1.068674977291177</x:v>
      </x:c>
      <x:c r="F16" s="47" t="n">
        <x:f>'06_Schedules'!F14/'06_Schedules'!F12</x:f>
        <x:v>1.0800081800855528</x:v>
      </x:c>
      <x:c r="G16" s="47" t="n">
        <x:f>'06_Schedules'!G14/'06_Schedules'!G12</x:f>
        <x:v>1.0682474784922973</x:v>
      </x:c>
      <x:c r="H16" s="49" t="n">
        <x:f>$G$16</x:f>
        <x:v>1.0682474784922973</x:v>
      </x:c>
      <x:c r="I16" s="49" t="n">
        <x:f>$G$16</x:f>
        <x:v>1.0682474784922973</x:v>
      </x:c>
      <x:c r="J16" s="49" t="n">
        <x:f>$G$16</x:f>
        <x:v>1.0682474784922973</x:v>
      </x:c>
      <x:c r="K16" s="49" t="n">
        <x:f>$G$16</x:f>
        <x:v>1.0682474784922973</x:v>
      </x:c>
      <x:c r="L16" s="49" t="n">
        <x:f>$G$16</x:f>
        <x:v>1.0682474784922973</x:v>
      </x:c>
    </x:row>
    <x:row r="17" ht="19" customHeight="1">
      <x:c r="A17" s="45" t="str">
        <x:v>Ordinary dividend / PAT</x:v>
      </x:c>
      <x:c r="B17"/>
      <x:c r="C17" s="50"/>
      <x:c r="D17" s="50"/>
      <x:c r="E17" s="50"/>
      <x:c r="F17" s="50"/>
      <x:c r="G17" s="50"/>
      <x:c r="H17" s="50" t="n">
        <x:v>0.033</x:v>
      </x:c>
      <x:c r="I17" s="50" t="n">
        <x:v>0.033</x:v>
      </x:c>
      <x:c r="J17" s="50" t="n">
        <x:v>0.033</x:v>
      </x:c>
      <x:c r="K17" s="50" t="n">
        <x:v>0.033</x:v>
      </x:c>
      <x:c r="L17" s="50" t="n">
        <x:v>0.033</x:v>
      </x:c>
    </x:row>
    <x:row r="18" ht="19" customHeight="1">
      <x:c r="A18" s="45" t="str">
        <x:v>Cost of equity</x:v>
      </x:c>
      <x:c r="B18"/>
      <x:c r="C18" s="50"/>
      <x:c r="D18" s="50"/>
      <x:c r="E18" s="50"/>
      <x:c r="F18" s="50"/>
      <x:c r="G18" s="50"/>
      <x:c r="H18" s="50" t="n">
        <x:v>0.13</x:v>
      </x:c>
      <x:c r="I18" s="50" t="n">
        <x:v>0.13</x:v>
      </x:c>
      <x:c r="J18" s="50" t="n">
        <x:v>0.13</x:v>
      </x:c>
      <x:c r="K18" s="50" t="n">
        <x:v>0.13</x:v>
      </x:c>
      <x:c r="L18" s="50" t="n">
        <x:v>0.13</x:v>
      </x:c>
    </x:row>
    <x:row r="19" ht="19" customHeight="1">
      <x:c r="A19" s="45" t="str">
        <x:v>Terminal growth</x:v>
      </x:c>
      <x:c r="B19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 t="n">
        <x:v>0.05</x:v>
      </x:c>
    </x:row>
    <x:row r="20" ht="19" customHeight="1">
      <x:c r="A20" s="45" t="str">
        <x:v>Terminal ROE</x:v>
      </x:c>
      <x:c r="B2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 t="n">
        <x:v>0.17</x:v>
      </x:c>
    </x:row>
    <x:row r="21" ht="19" customHeight="1">
      <x:c r="A21" s="45" t="str">
        <x:v>Cash / net loans</x:v>
      </x:c>
      <x:c r="B21"/>
      <x:c r="C21" s="47" t="n">
        <x:f>'02_Raw_Financials'!C23/'02_Raw_Financials'!C22</x:f>
        <x:v>0.03584502114048147</x:v>
      </x:c>
      <x:c r="D21" s="47" t="n">
        <x:f>'02_Raw_Financials'!D23/'02_Raw_Financials'!D22</x:f>
        <x:v>0.008690258707729154</x:v>
      </x:c>
      <x:c r="E21" s="47" t="n">
        <x:f>'02_Raw_Financials'!E23/'02_Raw_Financials'!E22</x:f>
        <x:v>0.0058298365184969924</x:v>
      </x:c>
      <x:c r="F21" s="47" t="n">
        <x:f>'02_Raw_Financials'!F23/'02_Raw_Financials'!F22</x:f>
        <x:v>0.029012218442378078</x:v>
      </x:c>
      <x:c r="G21" s="47" t="n">
        <x:f>'02_Raw_Financials'!G23/'02_Raw_Financials'!G22</x:f>
        <x:v>0.03820543127131371</x:v>
      </x:c>
      <x:c r="H21" s="49" t="n">
        <x:f>$G$21</x:f>
        <x:v>0.03820543127131371</x:v>
      </x:c>
      <x:c r="I21" s="49" t="n">
        <x:f>$G$21</x:f>
        <x:v>0.03820543127131371</x:v>
      </x:c>
      <x:c r="J21" s="49" t="n">
        <x:f>$G$21</x:f>
        <x:v>0.03820543127131371</x:v>
      </x:c>
      <x:c r="K21" s="49" t="n">
        <x:f>$G$21</x:f>
        <x:v>0.03820543127131371</x:v>
      </x:c>
      <x:c r="L21" s="49" t="n">
        <x:f>$G$21</x:f>
        <x:v>0.03820543127131371</x:v>
      </x:c>
    </x:row>
    <x:row r="22" ht="19" customHeight="1">
      <x:c r="A22" s="45" t="str">
        <x:v>Investments / net loans</x:v>
      </x:c>
      <x:c r="B22"/>
      <x:c r="C22" s="47" t="n">
        <x:f>'02_Raw_Financials'!C24/'02_Raw_Financials'!C22</x:f>
        <x:v>0.027999758864592078</x:v>
      </x:c>
      <x:c r="D22" s="47" t="n">
        <x:f>'02_Raw_Financials'!D24/'02_Raw_Financials'!D22</x:f>
        <x:v>0.03455921775165463</x:v>
      </x:c>
      <x:c r="E22" s="47" t="n">
        <x:f>'02_Raw_Financials'!E24/'02_Raw_Financials'!E22</x:f>
        <x:v>0.028390168994426073</x:v>
      </x:c>
      <x:c r="F22" s="47" t="n">
        <x:f>'02_Raw_Financials'!F24/'02_Raw_Financials'!F22</x:f>
        <x:v>0.03512556209836866</x:v>
      </x:c>
      <x:c r="G22" s="47" t="n">
        <x:f>'02_Raw_Financials'!G24/'02_Raw_Financials'!G22</x:f>
        <x:v>0.0305097881539079</x:v>
      </x:c>
      <x:c r="H22" s="49" t="n">
        <x:f>$G$22</x:f>
        <x:v>0.0305097881539079</x:v>
      </x:c>
      <x:c r="I22" s="49" t="n">
        <x:f>$G$22</x:f>
        <x:v>0.0305097881539079</x:v>
      </x:c>
      <x:c r="J22" s="49" t="n">
        <x:f>$G$22</x:f>
        <x:v>0.0305097881539079</x:v>
      </x:c>
      <x:c r="K22" s="49" t="n">
        <x:f>$G$22</x:f>
        <x:v>0.0305097881539079</x:v>
      </x:c>
      <x:c r="L22" s="49" t="n">
        <x:f>$G$22</x:f>
        <x:v>0.0305097881539079</x:v>
      </x:c>
    </x:row>
    <x:row r="23" ht="19" customHeight="1">
      <x:c r="A23" s="45" t="str">
        <x:v>Other assets / net loans</x:v>
      </x:c>
      <x:c r="B23"/>
      <x:c r="C23" s="47" t="n">
        <x:f>('02_Raw_Financials'!C25-'02_Raw_Financials'!C22-'02_Raw_Financials'!C23-'02_Raw_Financials'!C24)/'02_Raw_Financials'!C22</x:f>
        <x:v>0.046933743461326144</x:v>
      </x:c>
      <x:c r="D23" s="47" t="n">
        <x:f>('02_Raw_Financials'!D25-'02_Raw_Financials'!D22-'02_Raw_Financials'!D23-'02_Raw_Financials'!D24)/'02_Raw_Financials'!D22</x:f>
        <x:v>0.040448190481718355</x:v>
      </x:c>
      <x:c r="E23" s="47" t="n">
        <x:f>('02_Raw_Financials'!E25-'02_Raw_Financials'!E22-'02_Raw_Financials'!E23-'02_Raw_Financials'!E24)/'02_Raw_Financials'!E22</x:f>
        <x:v>0.0490518596283214</x:v>
      </x:c>
      <x:c r="F23" s="47" t="n">
        <x:f>('02_Raw_Financials'!F25-'02_Raw_Financials'!F22-'02_Raw_Financials'!F23-'02_Raw_Financials'!F24)/'02_Raw_Financials'!F22</x:f>
        <x:v>0.04424291993784421</x:v>
      </x:c>
      <x:c r="G23" s="47" t="n">
        <x:f>('02_Raw_Financials'!G25-'02_Raw_Financials'!G22-'02_Raw_Financials'!G23-'02_Raw_Financials'!G24)/'02_Raw_Financials'!G22</x:f>
        <x:v>0.05767418806794063</x:v>
      </x:c>
      <x:c r="H23" s="49" t="n">
        <x:f>$G$23</x:f>
        <x:v>0.05767418806794063</x:v>
      </x:c>
      <x:c r="I23" s="49" t="n">
        <x:f>$G$23</x:f>
        <x:v>0.05767418806794063</x:v>
      </x:c>
      <x:c r="J23" s="49" t="n">
        <x:f>$G$23</x:f>
        <x:v>0.05767418806794063</x:v>
      </x:c>
      <x:c r="K23" s="49" t="n">
        <x:f>$G$23</x:f>
        <x:v>0.05767418806794063</x:v>
      </x:c>
      <x:c r="L23" s="49" t="n">
        <x:f>$G$23</x:f>
        <x:v>0.05767418806794063</x:v>
      </x:c>
    </x:row>
    <x:row r="24" ht="19" customHeight="1">
      <x:c r="A24" s="45" t="str">
        <x:v>Other liabilities / net loans</x:v>
      </x:c>
      <x:c r="B24"/>
      <x:c r="C24" s="47" t="n">
        <x:f>('02_Raw_Financials'!C25-'02_Raw_Financials'!C29-SUM('02_Raw_Financials'!C26:'02_Raw_Financials'!C28))/'02_Raw_Financials'!C22</x:f>
        <x:v>0.01998901943796856</x:v>
      </x:c>
      <x:c r="D24" s="47" t="n">
        <x:f>('02_Raw_Financials'!D25-'02_Raw_Financials'!D29-SUM('02_Raw_Financials'!D26:'02_Raw_Financials'!D28))/'02_Raw_Financials'!D22</x:f>
        <x:v>0.017789306787927287</x:v>
      </x:c>
      <x:c r="E24" s="47" t="n">
        <x:f>('02_Raw_Financials'!E25-'02_Raw_Financials'!E29-SUM('02_Raw_Financials'!E26:'02_Raw_Financials'!E28))/'02_Raw_Financials'!E22</x:f>
        <x:v>0.016760892506378206</x:v>
      </x:c>
      <x:c r="F24" s="47" t="n">
        <x:f>('02_Raw_Financials'!F25-'02_Raw_Financials'!F29-SUM('02_Raw_Financials'!F26:'02_Raw_Financials'!F28))/'02_Raw_Financials'!F22</x:f>
        <x:v>0.016897057602955953</x:v>
      </x:c>
      <x:c r="G24" s="47" t="n">
        <x:f>('02_Raw_Financials'!G25-'02_Raw_Financials'!G29-SUM('02_Raw_Financials'!G26:'02_Raw_Financials'!G28))/'02_Raw_Financials'!G22</x:f>
        <x:v>0.017462194897522217</x:v>
      </x:c>
      <x:c r="H24" s="49" t="n">
        <x:f>$G$24</x:f>
        <x:v>0.017462194897522217</x:v>
      </x:c>
      <x:c r="I24" s="49" t="n">
        <x:f>$G$24</x:f>
        <x:v>0.017462194897522217</x:v>
      </x:c>
      <x:c r="J24" s="49" t="n">
        <x:f>$G$24</x:f>
        <x:v>0.017462194897522217</x:v>
      </x:c>
      <x:c r="K24" s="49" t="n">
        <x:f>$G$24</x:f>
        <x:v>0.017462194897522217</x:v>
      </x:c>
      <x:c r="L24" s="49" t="n">
        <x:f>$G$24</x:f>
        <x:v>0.017462194897522217</x:v>
      </x:c>
    </x:row>
    <x:row r="25" ht="30" customHeight="1">
      <x:c r="A25" s="45" t="str">
        <x:v>D&amp;A / model asset base</x:v>
      </x:c>
      <x:c r="B25"/>
      <x:c r="C25" s="47" t="n">
        <x:f>'02_Raw_Financials'!C14/'06_Schedules'!C14</x:f>
        <x:v>0.0013169033981455319</x:v>
      </x:c>
      <x:c r="D25" s="47" t="n">
        <x:f>'02_Raw_Financials'!D14/'06_Schedules'!D14</x:f>
        <x:v>0.0012662150740811954</x:v>
      </x:c>
      <x:c r="E25" s="47" t="n">
        <x:f>'02_Raw_Financials'!E14/'06_Schedules'!E14</x:f>
        <x:v>0.001470382057488381</x:v>
      </x:c>
      <x:c r="F25" s="47" t="n">
        <x:f>'02_Raw_Financials'!F14/'06_Schedules'!F14</x:f>
        <x:v>0.00137386614944388</x:v>
      </x:c>
      <x:c r="G25" s="47" t="n">
        <x:f>'02_Raw_Financials'!G14/'06_Schedules'!G14</x:f>
        <x:v>0.0013183805645248215</x:v>
      </x:c>
      <x:c r="H25" s="49" t="n">
        <x:f>$G$25</x:f>
        <x:v>0.0013183805645248215</x:v>
      </x:c>
      <x:c r="I25" s="49" t="n">
        <x:f>$G$25</x:f>
        <x:v>0.0013183805645248215</x:v>
      </x:c>
      <x:c r="J25" s="49" t="n">
        <x:f>$G$25</x:f>
        <x:v>0.0013183805645248215</x:v>
      </x:c>
      <x:c r="K25" s="49" t="n">
        <x:f>$G$25</x:f>
        <x:v>0.0013183805645248215</x:v>
      </x:c>
      <x:c r="L25" s="49" t="n">
        <x:f>$G$25</x:f>
        <x:v>0.0013183805645248215</x:v>
      </x:c>
    </x:row>
    <x:row r="26" ht="8" customHeight="1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 ht="8" customHeight="1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 ht="19" customHeight="1">
      <x:c r="A28" s="91" t="str">
        <x:v>Management guidance (May 2026): growth 20–23%, NIM 8%, opex 3–3.1%, credit cost 1.5%, pre-tax ROA 3.5%.</x:v>
      </x:c>
      <x:c r="B28" s="91"/>
      <x:c r="C28" s="91"/>
      <x:c r="D28" s="91"/>
      <x:c r="E28" s="91"/>
      <x:c r="F28" s="91"/>
      <x:c r="G28" s="91"/>
      <x:c r="H28" s="91"/>
      <x:c r="I28" s="91"/>
      <x:c r="J28" s="91"/>
      <x:c r="K28" s="91"/>
      <x:c r="L28" s="91"/>
    </x:row>
    <x:row r="29" ht="19" customHeight="1">
      <x:c r="A29" s="91" t="str">
        <x:v>Management guidance (July 2026): growth 22–23% and credit cost 1.5%.</x:v>
      </x:c>
      <x:c r="B29" s="91"/>
      <x:c r="C29" s="91"/>
      <x:c r="D29" s="91"/>
      <x:c r="E29" s="91"/>
      <x:c r="F29" s="91"/>
      <x:c r="G29" s="91"/>
      <x:c r="H29" s="91"/>
      <x:c r="I29" s="91"/>
      <x:c r="J29" s="91"/>
      <x:c r="K29" s="91"/>
      <x:c r="L29" s="91"/>
    </x:row>
    <x:row r="30" ht="19" customHeight="1">
      <x:c r="A30" s="91" t="str">
        <x:v>Management commentary: FY2026 funding cost 7.5%. FY2027 remains flat with potential upward pressure.</x:v>
      </x:c>
      <x:c r="B30" s="91"/>
      <x:c r="C30" s="91"/>
      <x:c r="D30" s="91"/>
      <x:c r="E30" s="91"/>
      <x:c r="F30" s="91"/>
      <x:c r="G30" s="91"/>
      <x:c r="H30" s="91"/>
      <x:c r="I30" s="91"/>
      <x:c r="J30" s="91"/>
      <x:c r="K30" s="91"/>
      <x:c r="L30" s="91"/>
    </x:row>
    <x:row r="31" ht="19" customHeight="1">
      <x:c r="A31" s="91" t="str">
        <x:v>Model funding cost: 7.5%, then 7.6%. Later-year growth fades to 16%. These are analyst assumptions.</x:v>
      </x:c>
      <x:c r="B31" s="91"/>
      <x:c r="C31" s="91"/>
      <x:c r="D31" s="91"/>
      <x:c r="E31" s="91"/>
      <x:c r="F31" s="91"/>
      <x:c r="G31" s="91"/>
      <x:c r="H31" s="91"/>
      <x:c r="I31" s="91"/>
      <x:c r="J31" s="91"/>
      <x:c r="K31" s="91"/>
      <x:c r="L31" s="91"/>
    </x:row>
    <x:row r="32" ht="19" customHeight="1">
      <x:c r="A32" s="91" t="str">
        <x:v>Later-year net income, opex and credit-cost ratios remain flat. Implied pre-tax ROA is about 3.45%.</x:v>
      </x:c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</x:row>
    <x:row r="33" ht="8" customHeight="1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 ht="19" customHeight="1">
      <x:c r="A34" s="91" t="str">
        <x:v>Average-asset base: FY2026 net income divided by 8%, then held proportional to average net loans.</x:v>
      </x:c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</x:row>
    <x:row r="35" ht="19" customHeight="1">
      <x:c r="A35" s="91" t="str">
        <x:v>This calibrated base is used for management operating ratios. It is not balance-sheet total assets.</x:v>
      </x:c>
      <x:c r="B35" s="91"/>
      <x:c r="C35" s="91"/>
      <x:c r="D35" s="91"/>
      <x:c r="E35" s="91"/>
      <x:c r="F35" s="91"/>
      <x:c r="G35" s="91"/>
      <x:c r="H35" s="91"/>
      <x:c r="I35" s="91"/>
      <x:c r="J35" s="91"/>
      <x:c r="K35" s="91"/>
      <x:c r="L35" s="91"/>
    </x:row>
    <x:row r="36" ht="19" customHeight="1">
      <x:c r="A36" s="91" t="str">
        <x:v>Required book equity is 14% of net loans, close to the actual level. It is not regulatory capital adequacy.</x:v>
      </x:c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</x:row>
    <x:row r="37" ht="19" customHeight="1">
      <x:c r="A37" s="91" t="str">
        <x:v>Cost of equity, terminal growth and terminal ROE are valuation assumptions, not management guidance.</x:v>
      </x:c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</x:row>
    <x:row r="38" ht="8" customHeight="1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 ht="19" customHeight="1">
      <x:c r="A39" s="55" t="str">
        <x:v>Valuation reference and conversion</x:v>
      </x:c>
      <x:c r="B39" s="55"/>
      <x:c r="C39" s="55"/>
      <x:c r="D39" s="55"/>
      <x:c r="E39" s="55"/>
      <x:c r="F39" s="55"/>
      <x:c r="G39" s="55"/>
      <x:c r="H39" s="55"/>
      <x:c r="I39" s="55"/>
      <x:c r="J39" s="55"/>
      <x:c r="K39" s="55"/>
      <x:c r="L39" s="55"/>
    </x:row>
    <x:row r="40" ht="19" customHeight="1">
      <x:c r="A40" s="45" t="str">
        <x:v>Valuation / reference-price date</x:v>
      </x:c>
      <x:c r="B40"/>
      <x:c r="C40" s="60" t="n">
        <x:v>46283</x:v>
      </x:c>
      <x:c r="D40"/>
      <x:c r="E40"/>
      <x:c r="F40"/>
      <x:c r="G40"/>
      <x:c r="H40"/>
      <x:c r="I40"/>
      <x:c r="J40"/>
      <x:c r="K40"/>
      <x:c r="L40"/>
    </x:row>
    <x:row r="41" ht="19" customHeight="1">
      <x:c r="A41" s="21" t="str">
        <x:v>Reference price (INR)</x:v>
      </x:c>
      <x:c r="B41" s="21"/>
      <x:c r="C41" s="62" t="n">
        <x:v>1779</x:v>
      </x:c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 ht="19" customHeight="1">
      <x:c r="A42" s="21" t="str">
        <x:v>FY2026 shares (crore)</x:v>
      </x:c>
      <x:c r="B42" s="21"/>
      <x:c r="C42" s="63" t="n">
        <x:f>'02_Raw_Financials'!G55</x:f>
        <x:v>85.2037169</x:v>
      </x:c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 ht="19" customHeight="1">
      <x:c r="A43" s="21" t="str">
        <x:v>CCDs converted during FY2027</x:v>
      </x:c>
      <x:c r="B43" s="21"/>
      <x:c r="C43" s="63" t="n">
        <x:f>'02_Raw_Financials'!G56</x:f>
        <x:v>630</x:v>
      </x:c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 ht="19" customHeight="1">
      <x:c r="A44" s="21" t="str">
        <x:v>Assumed CCD conversion price</x:v>
      </x:c>
      <x:c r="B44" s="21"/>
      <x:c r="C44" s="63" t="n">
        <x:f>'02_Raw_Financials'!G57*(1-'02_Raw_Financials'!G58)</x:f>
        <x:v>1140.4845</x:v>
      </x:c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 ht="19" customHeight="1">
      <x:c r="A45" s="21" t="str">
        <x:v>Pro forma shares incl. CCD (crore)</x:v>
      </x:c>
      <x:c r="B45" s="21"/>
      <x:c r="C45" s="64" t="n">
        <x:f>C42+C43/C44</x:f>
        <x:v>85.756113710303</x:v>
      </x:c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 ht="19" customHeight="1">
      <x:c r="A46" s="21" t="str">
        <x:v>FY2027 year-end</x:v>
      </x:c>
      <x:c r="B46" s="21"/>
      <x:c r="C46" s="7" t="n">
        <x:v>46477</x:v>
      </x:c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 ht="19" customHeight="1">
      <x:c r="A47" s="21" t="str">
        <x:v>Remaining FY2027 fraction</x:v>
      </x:c>
      <x:c r="B47" s="21"/>
      <x:c r="C47" s="61" t="n">
        <x:f>(C46-C40)/365</x:f>
        <x:v>0.5315068493150685</x:v>
      </x:c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 ht="8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 ht="19" customHeight="1">
      <x:c r="A49" s="91" t="str">
        <x:v>FY2027 CCD conversion: ₹630 crore at an assumed ₹1,140.48 per share (floor less 5%). Actual pricing may differ.</x:v>
      </x:c>
      <x:c r="B49" s="91"/>
      <x:c r="C49" s="91"/>
      <x:c r="D49" s="91"/>
      <x:c r="E49" s="91"/>
      <x:c r="F49" s="91"/>
      <x:c r="G49" s="91"/>
      <x:c r="H49" s="91"/>
      <x:c r="I49" s="91"/>
      <x:c r="J49" s="91"/>
      <x:c r="K49" s="91"/>
      <x:c r="L49" s="91"/>
    </x:row>
    <x:row r="50" ht="8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 ht="8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 ht="8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 ht="8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 ht="8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 ht="8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 ht="8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 ht="8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 ht="8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 ht="8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 ht="8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 ht="8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 ht="8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 ht="8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 ht="8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 ht="8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7" customHeight="1">
      <x:c r="A1" s="94" t="str">
        <x:v>Lending and Capital Schedules</x:v>
      </x:c>
      <x:c r="B1" s="94"/>
      <x:c r="C1" s="95"/>
      <x:c r="D1" s="95"/>
      <x:c r="E1" s="95"/>
      <x:c r="F1" s="95"/>
      <x:c r="G1" s="95"/>
      <x:c r="H1" s="95"/>
      <x:c r="I1" s="95"/>
      <x:c r="J1" s="95"/>
      <x:c r="K1" s="95"/>
      <x:c r="L1" s="95"/>
    </x:row>
    <x:row r="2" ht="8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9" customHeight="1">
      <x:c r="A3" s="21" t="str">
        <x:v>AUM, loans, earnings capacity and capital funding | INR crore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8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19" customHeight="1">
      <x:c r="A5" s="32" t="str">
        <x:v>Metric</x:v>
      </x:c>
      <x:c r="B5" s="32" t="str"/>
      <x:c r="C5" s="32" t="str">
        <x:v>FY2022A</x:v>
      </x:c>
      <x:c r="D5" s="32" t="str">
        <x:v>FY2023A</x:v>
      </x:c>
      <x:c r="E5" s="32" t="str">
        <x:v>FY2024A</x:v>
      </x:c>
      <x:c r="F5" s="32" t="str">
        <x:v>FY2025A</x:v>
      </x:c>
      <x:c r="G5" s="32" t="str">
        <x:v>FY2026A</x:v>
      </x:c>
      <x:c r="H5" s="32" t="str">
        <x:v>FY2027E</x:v>
      </x:c>
      <x:c r="I5" s="32" t="str">
        <x:v>FY2028E</x:v>
      </x:c>
      <x:c r="J5" s="32" t="str">
        <x:v>FY2029E</x:v>
      </x:c>
      <x:c r="K5" s="32" t="str">
        <x:v>FY2030E</x:v>
      </x:c>
      <x:c r="L5" s="32" t="str">
        <x:v>FY2031E</x:v>
      </x:c>
    </x:row>
    <x:row r="6" ht="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 ht="19" customHeight="1">
      <x:c r="A7" s="33" t="str">
        <x:v>Loan book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</x:row>
    <x:row r="8" ht="19" customHeight="1">
      <x:c r="A8" s="21" t="str">
        <x:v>AUM</x:v>
      </x:c>
      <x:c r="B8" s="21"/>
      <x:c r="C8" s="20" t="n">
        <x:f>'02_Raw_Financials'!C34</x:f>
        <x:v>82904</x:v>
      </x:c>
      <x:c r="D8" s="20" t="n">
        <x:f>'02_Raw_Financials'!D34</x:f>
        <x:v>112782</x:v>
      </x:c>
      <x:c r="E8" s="20" t="n">
        <x:f>'02_Raw_Financials'!E34</x:f>
        <x:v>153718</x:v>
      </x:c>
      <x:c r="F8" s="20" t="n">
        <x:f>'02_Raw_Financials'!F34</x:f>
        <x:v>199876</x:v>
      </x:c>
      <x:c r="G8" s="20" t="n">
        <x:f>'02_Raw_Financials'!G34</x:f>
        <x:v>242630</x:v>
      </x:c>
      <x:c r="H8" s="21" t="n">
        <x:f>G8*(1+H9)</x:f>
        <x:v>296008.6</x:v>
      </x:c>
      <x:c r="I8" s="21" t="n">
        <x:f>H8*(1+I9)</x:f>
        <x:v>355210.31999999995</x:v>
      </x:c>
      <x:c r="J8" s="21" t="n">
        <x:f>I8*(1+J9)</x:f>
        <x:v>419148.17759999994</x:v>
      </x:c>
      <x:c r="K8" s="21" t="n">
        <x:f>J8*(1+K9)</x:f>
        <x:v>490403.3677919999</x:v>
      </x:c>
      <x:c r="L8" s="21" t="n">
        <x:f>K8*(1+L9)</x:f>
        <x:v>568867.9066387198</x:v>
      </x:c>
    </x:row>
    <x:row r="9" ht="19" customHeight="1">
      <x:c r="A9" s="21" t="str">
        <x:v>AUM growth</x:v>
      </x:c>
      <x:c r="B9" s="21"/>
      <x:c r="C9" s="18" t="str">
        <x:f>"n.a."</x:f>
        <x:v>n.a.</x:v>
      </x:c>
      <x:c r="D9" s="18" t="n">
        <x:f>D8/C8-1</x:f>
        <x:v>0.36039274341406924</x:v>
      </x:c>
      <x:c r="E9" s="18" t="n">
        <x:f>E8/D8-1</x:f>
        <x:v>0.3629657214803781</x:v>
      </x:c>
      <x:c r="F9" s="18" t="n">
        <x:f>F8/E8-1</x:f>
        <x:v>0.3002771308499981</x:v>
      </x:c>
      <x:c r="G9" s="18" t="n">
        <x:f>G8/F8-1</x:f>
        <x:v>0.2139026196241669</x:v>
      </x:c>
      <x:c r="H9" s="9" t="n">
        <x:f>'05_Assumptions'!H7</x:f>
        <x:v>0.22</x:v>
      </x:c>
      <x:c r="I9" s="9" t="n">
        <x:f>'05_Assumptions'!I7</x:f>
        <x:v>0.2</x:v>
      </x:c>
      <x:c r="J9" s="9" t="n">
        <x:f>'05_Assumptions'!J7</x:f>
        <x:v>0.18</x:v>
      </x:c>
      <x:c r="K9" s="9" t="n">
        <x:f>'05_Assumptions'!K7</x:f>
        <x:v>0.17</x:v>
      </x:c>
      <x:c r="L9" s="9" t="n">
        <x:f>'05_Assumptions'!L7</x:f>
        <x:v>0.16</x:v>
      </x:c>
    </x:row>
    <x:row r="10" ht="19" customHeight="1">
      <x:c r="A10" s="21" t="str">
        <x:v>Loans</x:v>
      </x:c>
      <x:c r="B10" s="21"/>
      <x:c r="C10" s="20" t="n">
        <x:f>'02_Raw_Financials'!C22</x:f>
        <x:v>74149.21</x:v>
      </x:c>
      <x:c r="D10" s="20" t="n">
        <x:f>'02_Raw_Financials'!D22</x:f>
        <x:v>104748.32</x:v>
      </x:c>
      <x:c r="E10" s="20" t="n">
        <x:f>'02_Raw_Financials'!E22</x:f>
        <x:v>144424.29</x:v>
      </x:c>
      <x:c r="F10" s="20" t="n">
        <x:f>'02_Raw_Financials'!F22</x:f>
        <x:v>181929.9</x:v>
      </x:c>
      <x:c r="G10" s="20" t="n">
        <x:f>'02_Raw_Financials'!G22</x:f>
        <x:v>217571.16</x:v>
      </x:c>
      <x:c r="H10" s="21" t="n">
        <x:f>H8*H11</x:f>
        <x:v>265436.81519999995</x:v>
      </x:c>
      <x:c r="I10" s="21" t="n">
        <x:f>I8*I11</x:f>
        <x:v>318524.1782399999</x:v>
      </x:c>
      <x:c r="J10" s="21" t="n">
        <x:f>J8*J11</x:f>
        <x:v>375858.5303231999</x:v>
      </x:c>
      <x:c r="K10" s="21" t="n">
        <x:f>K8*K11</x:f>
        <x:v>439754.4804781439</x:v>
      </x:c>
      <x:c r="L10" s="21" t="n">
        <x:f>L8*L11</x:f>
        <x:v>510115.19735464687</x:v>
      </x:c>
    </x:row>
    <x:row r="11" ht="19" customHeight="1">
      <x:c r="A11" s="21" t="str">
        <x:v>Loan / AUM</x:v>
      </x:c>
      <x:c r="B11" s="21"/>
      <x:c r="C11" s="18" t="n">
        <x:f>C10/C8</x:f>
        <x:v>0.8943984608704044</x:v>
      </x:c>
      <x:c r="D11" s="18" t="n">
        <x:f>D10/D8</x:f>
        <x:v>0.928768065826107</x:v>
      </x:c>
      <x:c r="E11" s="18" t="n">
        <x:f>E10/E8</x:f>
        <x:v>0.9395405222550385</x:v>
      </x:c>
      <x:c r="F11" s="18" t="n">
        <x:f>F10/F8</x:f>
        <x:v>0.9102138325761973</x:v>
      </x:c>
      <x:c r="G11" s="18" t="n">
        <x:f>G10/G8</x:f>
        <x:v>0.8967199439475745</x:v>
      </x:c>
      <x:c r="H11" s="9" t="n">
        <x:f>'05_Assumptions'!H8</x:f>
        <x:v>0.8967199439475745</x:v>
      </x:c>
      <x:c r="I11" s="9" t="n">
        <x:f>'05_Assumptions'!I8</x:f>
        <x:v>0.8967199439475745</x:v>
      </x:c>
      <x:c r="J11" s="9" t="n">
        <x:f>'05_Assumptions'!J8</x:f>
        <x:v>0.8967199439475745</x:v>
      </x:c>
      <x:c r="K11" s="9" t="n">
        <x:f>'05_Assumptions'!K8</x:f>
        <x:v>0.8967199439475745</x:v>
      </x:c>
      <x:c r="L11" s="9" t="n">
        <x:f>'05_Assumptions'!L8</x:f>
        <x:v>0.8967199439475745</x:v>
      </x:c>
    </x:row>
    <x:row r="12" ht="19" customHeight="1">
      <x:c r="A12" s="21" t="str">
        <x:v>Average loans</x:v>
      </x:c>
      <x:c r="B12" s="21"/>
      <x:c r="C12" s="21" t="str">
        <x:f>"n.a."</x:f>
        <x:v>n.a.</x:v>
      </x:c>
      <x:c r="D12" s="21" t="n">
        <x:f>AVERAGE(C10,D10)</x:f>
        <x:v>89448.76500000001</x:v>
      </x:c>
      <x:c r="E12" s="21" t="n">
        <x:f>AVERAGE(D10,E10)</x:f>
        <x:v>124586.30500000001</x:v>
      </x:c>
      <x:c r="F12" s="21" t="n">
        <x:f>AVERAGE(E10,F10)</x:f>
        <x:v>163177.095</x:v>
      </x:c>
      <x:c r="G12" s="21" t="n">
        <x:f>AVERAGE(F10,G10)</x:f>
        <x:v>199750.53</x:v>
      </x:c>
      <x:c r="H12" s="21" t="n">
        <x:f>AVERAGE(G10,H10)</x:f>
        <x:v>241503.9876</x:v>
      </x:c>
      <x:c r="I12" s="21" t="n">
        <x:f>AVERAGE(H10,I10)</x:f>
        <x:v>291980.49671999994</x:v>
      </x:c>
      <x:c r="J12" s="21" t="n">
        <x:f>AVERAGE(I10,J10)</x:f>
        <x:v>347191.3542815999</x:v>
      </x:c>
      <x:c r="K12" s="21" t="n">
        <x:f>AVERAGE(J10,K10)</x:f>
        <x:v>407806.5054006719</x:v>
      </x:c>
      <x:c r="L12" s="21" t="n">
        <x:f>AVERAGE(K10,L10)</x:f>
        <x:v>474934.8389163954</x:v>
      </x:c>
    </x:row>
    <x:row r="13" ht="19" customHeight="1">
      <x:c r="A13" s="21" t="str">
        <x:v>Loan growth</x:v>
      </x:c>
      <x:c r="B13" s="21"/>
      <x:c r="C13" s="18" t="str">
        <x:f>"n.a."</x:f>
        <x:v>n.a.</x:v>
      </x:c>
      <x:c r="D13" s="18" t="n">
        <x:f>D10/C10-1</x:f>
        <x:v>0.4126693999841671</x:v>
      </x:c>
      <x:c r="E13" s="18" t="n">
        <x:f>E10/D10-1</x:f>
        <x:v>0.3787742848763589</x:v>
      </x:c>
      <x:c r="F13" s="18" t="n">
        <x:f>F10/E10-1</x:f>
        <x:v>0.25969045788627376</x:v>
      </x:c>
      <x:c r="G13" s="18" t="n">
        <x:f>G10/F10-1</x:f>
        <x:v>0.19590655521714684</x:v>
      </x:c>
      <x:c r="H13" s="18" t="n">
        <x:f>H10/G10-1</x:f>
        <x:v>0.21999999999999975</x:v>
      </x:c>
      <x:c r="I13" s="18" t="n">
        <x:f>I10/H10-1</x:f>
        <x:v>0.19999999999999996</x:v>
      </x:c>
      <x:c r="J13" s="18" t="n">
        <x:f>J10/I10-1</x:f>
        <x:v>0.18000000000000016</x:v>
      </x:c>
      <x:c r="K13" s="18" t="n">
        <x:f>K10/J10-1</x:f>
        <x:v>0.16999999999999993</x:v>
      </x:c>
      <x:c r="L13" s="18" t="n">
        <x:f>L10/K10-1</x:f>
        <x:v>0.15999999999999992</x:v>
      </x:c>
    </x:row>
    <x:row r="14" ht="19" customHeight="1">
      <x:c r="A14" s="21" t="str">
        <x:v>Model average asset base</x:v>
      </x:c>
      <x:c r="B14" s="21"/>
      <x:c r="C14" s="20" t="n">
        <x:f>C19/'02_Raw_Financials'!C39</x:f>
        <x:v>73923.417721519</x:v>
      </x:c>
      <x:c r="D14" s="20" t="n">
        <x:f>D19/'02_Raw_Financials'!D39</x:f>
        <x:v>93886.10389610389</x:v>
      </x:c>
      <x:c r="E14" s="20" t="n">
        <x:f>E19/'02_Raw_Financials'!E39</x:f>
        <x:v>133142.26666666666</x:v>
      </x:c>
      <x:c r="F14" s="20" t="n">
        <x:f>F19/'02_Raw_Financials'!F39</x:f>
        <x:v>176232.59740259737</x:v>
      </x:c>
      <x:c r="G14" s="20" t="n">
        <x:f>G19/'02_Raw_Financials'!G39</x:f>
        <x:v>213383</x:v>
      </x:c>
      <x:c r="H14" s="20" t="n">
        <x:f>H12*'05_Assumptions'!H16</x:f>
        <x:v>257986.025799535</x:v>
      </x:c>
      <x:c r="I14" s="20" t="n">
        <x:f>I12*'05_Assumptions'!I16</x:f>
        <x:v>311907.4293900684</x:v>
      </x:c>
      <x:c r="J14" s="20" t="n">
        <x:f>J12*'05_Assumptions'!J16</x:f>
        <x:v>370886.288765645</x:v>
      </x:c>
      <x:c r="K14" s="20" t="n">
        <x:f>K12*'05_Assumptions'!K16</x:f>
        <x:v>435638.2711070232</x:v>
      </x:c>
      <x:c r="L14" s="20" t="n">
        <x:f>L12*'05_Assumptions'!L16</x:f>
        <x:v>507347.94412058475</x:v>
      </x:c>
    </x:row>
    <x:row r="15" ht="8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</x:row>
    <x:row r="16" ht="19" customHeight="1">
      <x:c r="A16" s="33" t="str">
        <x:v>Earnings capacity</x:v>
      </x:c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</x:row>
    <x:row r="17" ht="19" customHeight="1">
      <x:c r="A17" s="21" t="str">
        <x:v>Interest income</x:v>
      </x:c>
      <x:c r="B17" s="21"/>
      <x:c r="C17" s="20" t="n">
        <x:f>'02_Raw_Financials'!C8</x:f>
        <x:v>9566.81</x:v>
      </x:c>
      <x:c r="D17" s="20" t="n">
        <x:f>'02_Raw_Financials'!D8</x:f>
        <x:v>12082.18</x:v>
      </x:c>
      <x:c r="E17" s="20" t="n">
        <x:f>'02_Raw_Financials'!E8</x:f>
        <x:v>17613.68</x:v>
      </x:c>
      <x:c r="F17" s="20" t="n">
        <x:f>'02_Raw_Financials'!F8</x:f>
        <x:v>23719.96</x:v>
      </x:c>
      <x:c r="G17" s="20" t="n">
        <x:f>'02_Raw_Financials'!G8</x:f>
        <x:v>28372.63</x:v>
      </x:c>
      <x:c r="H17" s="21" t="n">
        <x:f>H19-H20+H18</x:f>
        <x:v>34464.82578946385</x:v>
      </x:c>
      <x:c r="I17" s="21" t="n">
        <x:f>I19-I20+I18</x:f>
        <x:v>41925.58342687735</x:v>
      </x:c>
      <x:c r="J17" s="21" t="n">
        <x:f>J19-J20+J18</x:f>
        <x:v>49800.092119614754</x:v>
      </x:c>
      <x:c r="K17" s="21" t="n">
        <x:f>K19-K20+K18</x:f>
        <x:v>58391.41996401739</x:v>
      </x:c>
      <x:c r="L17" s="21" t="n">
        <x:f>L19-L20+L18</x:f>
        <x:v>67858.65580313132</x:v>
      </x:c>
    </x:row>
    <x:row r="18" ht="19" customHeight="1">
      <x:c r="A18" s="21" t="str">
        <x:v>Finance costs</x:v>
      </x:c>
      <x:c r="B18" s="21"/>
      <x:c r="C18" s="20" t="n">
        <x:f>'02_Raw_Financials'!C11</x:f>
        <x:v>4298.82</x:v>
      </x:c>
      <x:c r="D18" s="20" t="n">
        <x:f>'02_Raw_Financials'!D11</x:f>
        <x:v>5748.75</x:v>
      </x:c>
      <x:c r="E18" s="20" t="n">
        <x:f>'02_Raw_Financials'!E11</x:f>
        <x:v>9230.61</x:v>
      </x:c>
      <x:c r="F18" s="20" t="n">
        <x:f>'02_Raw_Financials'!F11</x:f>
        <x:v>12484.85</x:v>
      </x:c>
      <x:c r="G18" s="20" t="n">
        <x:f>'02_Raw_Financials'!G11</x:f>
        <x:v>14374.2</x:v>
      </x:c>
      <x:c r="H18" s="20" t="n">
        <x:f>AVERAGE(G35,H35)*'05_Assumptions'!H9</x:f>
        <x:v>17540.331696059107</x:v>
      </x:c>
      <x:c r="I18" s="20" t="n">
        <x:f>AVERAGE(H35,I35)*'05_Assumptions'!I9</x:f>
        <x:v>21463.717595031256</x:v>
      </x:c>
      <x:c r="J18" s="20" t="n">
        <x:f>AVERAGE(I35,J35)*'05_Assumptions'!J9</x:f>
        <x:v>25469.07347592866</x:v>
      </x:c>
      <x:c r="K18" s="20" t="n">
        <x:f>AVERAGE(J35,K35)*'05_Assumptions'!K9</x:f>
        <x:v>29812.517973640057</x:v>
      </x:c>
      <x:c r="L18" s="20" t="n">
        <x:f>AVERAGE(K35,L35)*'05_Assumptions'!L9</x:f>
        <x:v>34575.42948512137</x:v>
      </x:c>
    </x:row>
    <x:row r="19" ht="19" customHeight="1">
      <x:c r="A19" s="21" t="str">
        <x:v>Net income after funding costs</x:v>
      </x:c>
      <x:c r="B19" s="21"/>
      <x:c r="C19" s="20" t="n">
        <x:f>'02_Raw_Financials'!C10-'02_Raw_Financials'!C11</x:f>
        <x:v>5839.950000000001</x:v>
      </x:c>
      <x:c r="D19" s="20" t="n">
        <x:f>'02_Raw_Financials'!D10-'02_Raw_Financials'!D11</x:f>
        <x:v>7229.23</x:v>
      </x:c>
      <x:c r="E19" s="20" t="n">
        <x:f>'02_Raw_Financials'!E10-'02_Raw_Financials'!E11</x:f>
        <x:v>9985.669999999998</x:v>
      </x:c>
      <x:c r="F19" s="20" t="n">
        <x:f>'02_Raw_Financials'!F10-'02_Raw_Financials'!F11</x:f>
        <x:v>13569.909999999998</x:v>
      </x:c>
      <x:c r="G19" s="20" t="n">
        <x:f>'02_Raw_Financials'!G10-'02_Raw_Financials'!G11</x:f>
        <x:v>17070.64</x:v>
      </x:c>
      <x:c r="H19" s="20" t="n">
        <x:f>H14*'05_Assumptions'!H10</x:f>
        <x:v>20638.882063962803</x:v>
      </x:c>
      <x:c r="I19" s="20" t="n">
        <x:f>I14*'05_Assumptions'!I10</x:f>
        <x:v>24952.594351205473</x:v>
      </x:c>
      <x:c r="J19" s="20" t="n">
        <x:f>J14*'05_Assumptions'!J10</x:f>
        <x:v>29670.903101251602</x:v>
      </x:c>
      <x:c r="K19" s="20" t="n">
        <x:f>K14*'05_Assumptions'!K10</x:f>
        <x:v>34851.06168856185</x:v>
      </x:c>
      <x:c r="L19" s="20" t="n">
        <x:f>L14*'05_Assumptions'!L10</x:f>
        <x:v>40587.83552964678</x:v>
      </x:c>
    </x:row>
    <x:row r="20" ht="19" customHeight="1">
      <x:c r="A20" s="21" t="str">
        <x:v>Non-interest income (within net income)</x:v>
      </x:c>
      <x:c r="B20" s="21"/>
      <x:c r="C20" s="20" t="n">
        <x:f>'02_Raw_Financials'!C9</x:f>
        <x:v>571.96</x:v>
      </x:c>
      <x:c r="D20" s="20" t="n">
        <x:f>'02_Raw_Financials'!D9</x:f>
        <x:v>895.8</x:v>
      </x:c>
      <x:c r="E20" s="20" t="n">
        <x:f>'02_Raw_Financials'!E9</x:f>
        <x:v>1602.6</x:v>
      </x:c>
      <x:c r="F20" s="20" t="n">
        <x:f>'02_Raw_Financials'!F9</x:f>
        <x:v>2334.8</x:v>
      </x:c>
      <x:c r="G20" s="20" t="n">
        <x:f>'02_Raw_Financials'!G9</x:f>
        <x:v>3072.21</x:v>
      </x:c>
      <x:c r="H20" s="20" t="n">
        <x:f>H14*'05_Assumptions'!H11</x:f>
        <x:v>3714.387970558055</x:v>
      </x:c>
      <x:c r="I20" s="20" t="n">
        <x:f>I14*'05_Assumptions'!I11</x:f>
        <x:v>4490.728519359377</x:v>
      </x:c>
      <x:c r="J20" s="20" t="n">
        <x:f>J14*'05_Assumptions'!J11</x:f>
        <x:v>5339.884457565515</x:v>
      </x:c>
      <x:c r="K20" s="20" t="n">
        <x:f>K14*'05_Assumptions'!K11</x:f>
        <x:v>6272.159698184521</x:v>
      </x:c>
      <x:c r="L20" s="20" t="n">
        <x:f>L14*'05_Assumptions'!L11</x:f>
        <x:v>7304.60921163683</x:v>
      </x:c>
    </x:row>
    <x:row r="21" ht="19" customHeight="1">
      <x:c r="A21" s="21" t="str">
        <x:v>Operating expense excluding D&amp;A</x:v>
      </x:c>
      <x:c r="B21" s="21"/>
      <x:c r="C21" s="20" t="n">
        <x:f>'02_Raw_Financials'!C13+'02_Raw_Financials'!C15</x:f>
        <x:v>1971.36</x:v>
      </x:c>
      <x:c r="D21" s="20" t="n">
        <x:f>'02_Raw_Financials'!D13+'02_Raw_Financials'!D15</x:f>
        <x:v>2660.98</x:v>
      </x:c>
      <x:c r="E21" s="20" t="n">
        <x:f>'02_Raw_Financials'!E13+'02_Raw_Financials'!E15</x:f>
        <x:v>3886</x:v>
      </x:c>
      <x:c r="F21" s="20" t="n">
        <x:f>'02_Raw_Financials'!F13+'02_Raw_Financials'!F15</x:f>
        <x:v>5096.66</x:v>
      </x:c>
      <x:c r="G21" s="20" t="n">
        <x:f>'02_Raw_Financials'!G13+'02_Raw_Financials'!G15</x:f>
        <x:v>6292.83</x:v>
      </x:c>
      <x:c r="H21" s="20" t="n">
        <x:f>H14*'05_Assumptions'!H12-H23</x:f>
        <x:v>7528.4500245527115</x:v>
      </x:c>
      <x:c r="I21" s="20" t="n">
        <x:f>I14*'05_Assumptions'!I12-I23</x:f>
        <x:v>9101.963903558322</x:v>
      </x:c>
      <x:c r="J21" s="20" t="n">
        <x:f>J14*'05_Assumptions'!J12-J23</x:f>
        <x:v>10823.062532594806</x:v>
      </x:c>
      <x:c r="K21" s="20" t="n">
        <x:f>K14*'05_Assumptions'!K12-K23</x:f>
        <x:v>12712.630238973512</x:v>
      </x:c>
      <x:c r="L21" s="20" t="n">
        <x:f>L14*'05_Assumptions'!L12-L23</x:f>
        <x:v>14805.234626697631</x:v>
      </x:c>
    </x:row>
    <x:row r="22" ht="19" customHeight="1">
      <x:c r="A22" s="21" t="str">
        <x:v>Credit costs</x:v>
      </x:c>
      <x:c r="B22" s="21"/>
      <x:c r="C22" s="20" t="n">
        <x:f>'02_Raw_Financials'!C12</x:f>
        <x:v>880.3</x:v>
      </x:c>
      <x:c r="D22" s="20" t="n">
        <x:f>'02_Raw_Financials'!D12</x:f>
        <x:v>849.68</x:v>
      </x:c>
      <x:c r="E22" s="20" t="n">
        <x:f>'02_Raw_Financials'!E12</x:f>
        <x:v>1321.8</x:v>
      </x:c>
      <x:c r="F22" s="20" t="n">
        <x:f>'02_Raw_Financials'!F12</x:f>
        <x:v>2494.26</x:v>
      </x:c>
      <x:c r="G22" s="20" t="n">
        <x:f>'02_Raw_Financials'!G12</x:f>
        <x:v>3535.83</x:v>
      </x:c>
      <x:c r="H22" s="20" t="n">
        <x:f>H14*'05_Assumptions'!H13</x:f>
        <x:v>3869.790386993025</x:v>
      </x:c>
      <x:c r="I22" s="20" t="n">
        <x:f>I14*'05_Assumptions'!I13</x:f>
        <x:v>4678.611440851026</x:v>
      </x:c>
      <x:c r="J22" s="20" t="n">
        <x:f>J14*'05_Assumptions'!J13</x:f>
        <x:v>5563.294331484675</x:v>
      </x:c>
      <x:c r="K22" s="20" t="n">
        <x:f>K14*'05_Assumptions'!K13</x:f>
        <x:v>6534.574066605347</x:v>
      </x:c>
      <x:c r="L22" s="20" t="n">
        <x:f>L14*'05_Assumptions'!L13</x:f>
        <x:v>7610.219161808771</x:v>
      </x:c>
    </x:row>
    <x:row r="23" ht="19" customHeight="1">
      <x:c r="A23" s="21" t="str">
        <x:v>Depreciation</x:v>
      </x:c>
      <x:c r="B23" s="21"/>
      <x:c r="C23" s="20" t="n">
        <x:f>'02_Raw_Financials'!C14</x:f>
        <x:v>97.35</x:v>
      </x:c>
      <x:c r="D23" s="20" t="n">
        <x:f>'02_Raw_Financials'!D14</x:f>
        <x:v>118.88</x:v>
      </x:c>
      <x:c r="E23" s="20" t="n">
        <x:f>'02_Raw_Financials'!E14</x:f>
        <x:v>195.77</x:v>
      </x:c>
      <x:c r="F23" s="20" t="n">
        <x:f>'02_Raw_Financials'!F14</x:f>
        <x:v>242.12</x:v>
      </x:c>
      <x:c r="G23" s="20" t="n">
        <x:f>'02_Raw_Financials'!G14</x:f>
        <x:v>281.32</x:v>
      </x:c>
      <x:c r="H23" s="20" t="n">
        <x:f>H14*'05_Assumptions'!H25</x:f>
        <x:v>340.12376233310613</x:v>
      </x:c>
      <x:c r="I23" s="20" t="n">
        <x:f>I14*'05_Assumptions'!I25</x:f>
        <x:v>411.21269283876427</x:v>
      </x:c>
      <x:c r="J23" s="20" t="n">
        <x:f>J14*'05_Assumptions'!J25</x:f>
        <x:v>488.96927475736703</x:v>
      </x:c>
      <x:c r="K23" s="20" t="n">
        <x:f>K14*'05_Assumptions'!K25</x:f>
        <x:v>574.3370297906945</x:v>
      </x:c>
      <x:c r="L23" s="20" t="n">
        <x:f>L14*'05_Assumptions'!L25</x:f>
        <x:v>668.8776689802041</x:v>
      </x:c>
    </x:row>
    <x:row r="24" ht="19" customHeight="1">
      <x:c r="A24" s="21" t="str">
        <x:v>Profit before tax</x:v>
      </x:c>
      <x:c r="B24" s="21"/>
      <x:c r="C24" s="20" t="n">
        <x:f>'02_Raw_Financials'!C16</x:f>
        <x:v>2890.94</x:v>
      </x:c>
      <x:c r="D24" s="20" t="n">
        <x:f>'02_Raw_Financials'!D16</x:f>
        <x:v>3599.69</x:v>
      </x:c>
      <x:c r="E24" s="20" t="n">
        <x:f>'02_Raw_Financials'!E16</x:f>
        <x:v>4582.1</x:v>
      </x:c>
      <x:c r="F24" s="20" t="n">
        <x:f>'02_Raw_Financials'!F16</x:f>
        <x:v>5736.87</x:v>
      </x:c>
      <x:c r="G24" s="20" t="n">
        <x:f>'02_Raw_Financials'!G16</x:f>
        <x:v>6960.66</x:v>
      </x:c>
      <x:c r="H24" s="21" t="n">
        <x:f>H19-H21-H22-H23</x:f>
        <x:v>8900.51789008396</x:v>
      </x:c>
      <x:c r="I24" s="21" t="n">
        <x:f>I19-I21-I22-I23</x:f>
        <x:v>10760.80631395736</x:v>
      </x:c>
      <x:c r="J24" s="21" t="n">
        <x:f>J19-J21-J22-J23</x:f>
        <x:v>12795.576962414756</x:v>
      </x:c>
      <x:c r="K24" s="21" t="n">
        <x:f>K19-K21-K22-K23</x:f>
        <x:v>15029.520353192296</x:v>
      </x:c>
      <x:c r="L24" s="21" t="n">
        <x:f>L19-L21-L22-L23</x:f>
        <x:v>17503.504072160173</x:v>
      </x:c>
    </x:row>
    <x:row r="25" ht="19" customHeight="1">
      <x:c r="A25" s="21" t="str">
        <x:v>Tax expense</x:v>
      </x:c>
      <x:c r="B25" s="21"/>
      <x:c r="C25" s="20" t="n">
        <x:f>'02_Raw_Financials'!C17</x:f>
        <x:v>744.23</x:v>
      </x:c>
      <x:c r="D25" s="20" t="n">
        <x:f>'02_Raw_Financials'!D17</x:f>
        <x:v>933.49</x:v>
      </x:c>
      <x:c r="E25" s="20" t="n">
        <x:f>'02_Raw_Financials'!E17</x:f>
        <x:v>1159.34</x:v>
      </x:c>
      <x:c r="F25" s="20" t="n">
        <x:f>'02_Raw_Financials'!F17</x:f>
        <x:v>1478.34</x:v>
      </x:c>
      <x:c r="G25" s="20" t="n">
        <x:f>'02_Raw_Financials'!G17</x:f>
        <x:v>1741.07</x:v>
      </x:c>
      <x:c r="H25" s="20" t="n">
        <x:f>H24*'05_Assumptions'!H14</x:f>
        <x:v>2240.2603529341327</x:v>
      </x:c>
      <x:c r="I25" s="20" t="n">
        <x:f>I24*'05_Assumptions'!I14</x:f>
        <x:v>2708.4949492230676</x:v>
      </x:c>
      <x:c r="J25" s="20" t="n">
        <x:f>J24*'05_Assumptions'!J14</x:f>
        <x:v>3220.646721439794</x:v>
      </x:c>
      <x:c r="K25" s="20" t="n">
        <x:f>K24*'05_Assumptions'!K14</x:f>
        <x:v>3782.930272898501</x:v>
      </x:c>
      <x:c r="L25" s="20" t="n">
        <x:f>L24*'05_Assumptions'!L14</x:f>
        <x:v>4405.6319749627155</x:v>
      </x:c>
    </x:row>
    <x:row r="26" ht="19" customHeight="1">
      <x:c r="A26" s="21" t="str">
        <x:v>Profit after tax</x:v>
      </x:c>
      <x:c r="B26" s="21"/>
      <x:c r="C26" s="20" t="n">
        <x:f>'02_Raw_Financials'!C18</x:f>
        <x:v>2146.71</x:v>
      </x:c>
      <x:c r="D26" s="20" t="n">
        <x:f>'02_Raw_Financials'!D18</x:f>
        <x:v>2666.2</x:v>
      </x:c>
      <x:c r="E26" s="20" t="n">
        <x:f>'02_Raw_Financials'!E18</x:f>
        <x:v>3422.76</x:v>
      </x:c>
      <x:c r="F26" s="20" t="n">
        <x:f>'02_Raw_Financials'!F18</x:f>
        <x:v>4258.53</x:v>
      </x:c>
      <x:c r="G26" s="20" t="n">
        <x:f>'02_Raw_Financials'!G18</x:f>
        <x:v>5219.59</x:v>
      </x:c>
      <x:c r="H26" s="21" t="n">
        <x:f>H24-H25</x:f>
        <x:v>6660.257537149828</x:v>
      </x:c>
      <x:c r="I26" s="21" t="n">
        <x:f>I24-I25</x:f>
        <x:v>8052.3113647342925</x:v>
      </x:c>
      <x:c r="J26" s="21" t="n">
        <x:f>J24-J25</x:f>
        <x:v>9574.930240974962</x:v>
      </x:c>
      <x:c r="K26" s="21" t="n">
        <x:f>K24-K25</x:f>
        <x:v>11246.590080293796</x:v>
      </x:c>
      <x:c r="L26" s="21" t="n">
        <x:f>L24-L25</x:f>
        <x:v>13097.872097197458</x:v>
      </x:c>
    </x:row>
    <x:row r="27" ht="8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 ht="8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 ht="19" customHeight="1">
      <x:c r="A29" s="33" t="str">
        <x:v>Capital and funding</x:v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</x:row>
    <x:row r="30" ht="19" customHeight="1">
      <x:c r="A30" s="21" t="str">
        <x:v>Opening equity</x:v>
      </x:c>
      <x:c r="B30" s="21"/>
      <x:c r="C30" s="21" t="str">
        <x:f>"n.a."</x:f>
        <x:v>n.a.</x:v>
      </x:c>
      <x:c r="D30" s="21" t="n">
        <x:f>C33</x:f>
        <x:v>11707.68</x:v>
      </x:c>
      <x:c r="E30" s="21" t="n">
        <x:f>D33</x:f>
        <x:v>14296.05</x:v>
      </x:c>
      <x:c r="F30" s="21" t="n">
        <x:f>E33</x:f>
        <x:v>19556.51</x:v>
      </x:c>
      <x:c r="G30" s="21" t="n">
        <x:f>F33</x:f>
        <x:v>23627.4</x:v>
      </x:c>
      <x:c r="H30" s="21" t="n">
        <x:f>G33</x:f>
        <x:v>30404.02</x:v>
      </x:c>
      <x:c r="I30" s="21" t="n">
        <x:f>H33</x:f>
        <x:v>37474.48903842388</x:v>
      </x:c>
      <x:c r="J30" s="21" t="n">
        <x:f>I33</x:f>
        <x:v>45261.07412812194</x:v>
      </x:c>
      <x:c r="K30" s="21" t="n">
        <x:f>J33</x:f>
        <x:v>54520.03167114473</x:v>
      </x:c>
      <x:c r="L30" s="21" t="n">
        <x:f>K33</x:f>
        <x:v>65395.48427878883</x:v>
      </x:c>
    </x:row>
    <x:row r="31" ht="19" customHeight="1">
      <x:c r="A31" s="21" t="str">
        <x:v>Profit after tax</x:v>
      </x:c>
      <x:c r="B31" s="21"/>
      <x:c r="C31" s="21" t="n">
        <x:f>C26</x:f>
        <x:v>2146.71</x:v>
      </x:c>
      <x:c r="D31" s="21" t="n">
        <x:f>D26</x:f>
        <x:v>2666.2</x:v>
      </x:c>
      <x:c r="E31" s="21" t="n">
        <x:f>E26</x:f>
        <x:v>3422.76</x:v>
      </x:c>
      <x:c r="F31" s="21" t="n">
        <x:f>F26</x:f>
        <x:v>4258.53</x:v>
      </x:c>
      <x:c r="G31" s="21" t="n">
        <x:f>G26</x:f>
        <x:v>5219.59</x:v>
      </x:c>
      <x:c r="H31" s="21" t="n">
        <x:f>H26</x:f>
        <x:v>6660.257537149828</x:v>
      </x:c>
      <x:c r="I31" s="21" t="n">
        <x:f>I26</x:f>
        <x:v>8052.3113647342925</x:v>
      </x:c>
      <x:c r="J31" s="21" t="n">
        <x:f>J26</x:f>
        <x:v>9574.930240974962</x:v>
      </x:c>
      <x:c r="K31" s="21" t="n">
        <x:f>K26</x:f>
        <x:v>11246.590080293796</x:v>
      </x:c>
      <x:c r="L31" s="21" t="n">
        <x:f>L26</x:f>
        <x:v>13097.872097197458</x:v>
      </x:c>
    </x:row>
    <x:row r="32" ht="19" customHeight="1">
      <x:c r="A32" s="21" t="str">
        <x:v>Dividends</x:v>
      </x:c>
      <x:c r="B32" s="21"/>
      <x:c r="C32" s="21" t="str">
        <x:v>n.a.</x:v>
      </x:c>
      <x:c r="D32" s="21" t="str">
        <x:v>n.a.</x:v>
      </x:c>
      <x:c r="E32" s="21" t="str">
        <x:v>n.a.</x:v>
      </x:c>
      <x:c r="F32" s="21" t="str">
        <x:v>n.a.</x:v>
      </x:c>
      <x:c r="G32" s="21" t="str">
        <x:v>n.a.</x:v>
      </x:c>
      <x:c r="H32" s="21" t="n">
        <x:f>H31*'05_Assumptions'!H17</x:f>
        <x:v>219.78849872594432</x:v>
      </x:c>
      <x:c r="I32" s="21" t="n">
        <x:f>I31*'05_Assumptions'!I17</x:f>
        <x:v>265.72627503623164</x:v>
      </x:c>
      <x:c r="J32" s="21" t="n">
        <x:f>J31*'05_Assumptions'!J17</x:f>
        <x:v>315.97269795217375</x:v>
      </x:c>
      <x:c r="K32" s="21" t="n">
        <x:f>K31*'05_Assumptions'!K17</x:f>
        <x:v>371.13747264969527</x:v>
      </x:c>
      <x:c r="L32" s="21" t="n">
        <x:f>L31*'05_Assumptions'!L17</x:f>
        <x:v>432.2297792075161</x:v>
      </x:c>
    </x:row>
    <x:row r="33" ht="19" customHeight="1">
      <x:c r="A33" s="21" t="str">
        <x:v>Closing equity</x:v>
      </x:c>
      <x:c r="B33" s="21"/>
      <x:c r="C33" s="20" t="n">
        <x:f>'02_Raw_Financials'!C29</x:f>
        <x:v>11707.68</x:v>
      </x:c>
      <x:c r="D33" s="20" t="n">
        <x:f>'02_Raw_Financials'!D29</x:f>
        <x:v>14296.05</x:v>
      </x:c>
      <x:c r="E33" s="20" t="n">
        <x:f>'02_Raw_Financials'!E29</x:f>
        <x:v>19556.51</x:v>
      </x:c>
      <x:c r="F33" s="20" t="n">
        <x:f>'02_Raw_Financials'!F29</x:f>
        <x:v>23627.4</x:v>
      </x:c>
      <x:c r="G33" s="20" t="n">
        <x:f>'02_Raw_Financials'!G29</x:f>
        <x:v>30404.02</x:v>
      </x:c>
      <x:c r="H33" s="21" t="n">
        <x:f>H30+H31-H32+H38+H39</x:f>
        <x:v>37474.48903842388</x:v>
      </x:c>
      <x:c r="I33" s="21" t="n">
        <x:f>I30+I31-I32+I38+I39</x:f>
        <x:v>45261.07412812194</x:v>
      </x:c>
      <x:c r="J33" s="21" t="n">
        <x:f>J30+J31-J32+J38+J39</x:f>
        <x:v>54520.03167114473</x:v>
      </x:c>
      <x:c r="K33" s="21" t="n">
        <x:f>K30+K31-K32+K38+K39</x:f>
        <x:v>65395.48427878883</x:v>
      </x:c>
      <x:c r="L33" s="21" t="n">
        <x:f>L30+L31-L32+L38+L39</x:f>
        <x:v>78061.12659677878</x:v>
      </x:c>
    </x:row>
    <x:row r="34" ht="19" customHeight="1">
      <x:c r="A34" s="21" t="str">
        <x:v>Required book equity</x:v>
      </x:c>
      <x:c r="B34" s="21"/>
      <x:c r="C34" s="21" t="str">
        <x:v>n.a.</x:v>
      </x:c>
      <x:c r="D34" s="21" t="str">
        <x:v>n.a.</x:v>
      </x:c>
      <x:c r="E34" s="21" t="str">
        <x:v>n.a.</x:v>
      </x:c>
      <x:c r="F34" s="21" t="str">
        <x:v>n.a.</x:v>
      </x:c>
      <x:c r="G34" s="21" t="str">
        <x:v>n.a.</x:v>
      </x:c>
      <x:c r="H34" s="20" t="n">
        <x:f>H10*'05_Assumptions'!H15</x:f>
        <x:v>37161.154127999995</x:v>
      </x:c>
      <x:c r="I34" s="20" t="n">
        <x:f>I10*'05_Assumptions'!I15</x:f>
        <x:v>44593.38495359999</x:v>
      </x:c>
      <x:c r="J34" s="20" t="n">
        <x:f>J10*'05_Assumptions'!J15</x:f>
        <x:v>52620.19424524799</x:v>
      </x:c>
      <x:c r="K34" s="20" t="n">
        <x:f>K10*'05_Assumptions'!K15</x:f>
        <x:v>61565.62726694015</x:v>
      </x:c>
      <x:c r="L34" s="20" t="n">
        <x:f>L10*'05_Assumptions'!L15</x:f>
        <x:v>71416.12762965057</x:v>
      </x:c>
    </x:row>
    <x:row r="35" ht="19" customHeight="1">
      <x:c r="A35" s="21" t="str">
        <x:v>Funding debt</x:v>
      </x:c>
      <x:c r="B35" s="21"/>
      <x:c r="C35" s="20" t="n">
        <x:f>'02_Raw_Financials'!C26+'02_Raw_Financials'!C27+'02_Raw_Financials'!C28</x:f>
        <x:v>69173.5</x:v>
      </x:c>
      <x:c r="D35" s="20" t="n">
        <x:f>'02_Raw_Financials'!D26+'02_Raw_Financials'!D27+'02_Raw_Financials'!D28</x:f>
        <x:v>97356.06000000001</x:v>
      </x:c>
      <x:c r="E35" s="20" t="n">
        <x:f>'02_Raw_Financials'!E26+'02_Raw_Financials'!E27+'02_Raw_Financials'!E28</x:f>
        <x:v>134473.58</x:v>
      </x:c>
      <x:c r="F35" s="20" t="n">
        <x:f>'02_Raw_Financials'!F26+'02_Raw_Financials'!F27+'02_Raw_Financials'!F28</x:f>
        <x:v>174946.11</x:v>
      </x:c>
      <x:c r="G35" s="20" t="n">
        <x:f>'02_Raw_Financials'!G26+'02_Raw_Financials'!G27+'02_Raw_Financials'!G28</x:f>
        <x:v>210866.56000000003</x:v>
      </x:c>
      <x:c r="H35" s="20" t="n">
        <x:f>'08_Balance_Sheet'!H12-'08_Balance_Sheet'!H19-H33</x:f>
        <x:v>256875.61856157612</x:v>
      </x:c>
      <x:c r="I35" s="20" t="n">
        <x:f>'08_Balance_Sheet'!I12-'08_Balance_Sheet'!I19-I33</x:f>
        <x:v>307959.054991878</x:v>
      </x:c>
      <x:c r="J35" s="20" t="n">
        <x:f>'08_Balance_Sheet'!J12-'08_Balance_Sheet'!J19-J33</x:f>
        <x:v>362279.72069045523</x:v>
      </x:c>
      <x:c r="K35" s="20" t="n">
        <x:f>'08_Balance_Sheet'!K12-'08_Balance_Sheet'!K19-K33</x:f>
        <x:v>422260.2259842831</x:v>
      </x:c>
      <x:c r="L35" s="20" t="n">
        <x:f>'08_Balance_Sheet'!L12-'08_Balance_Sheet'!L19-L33</x:f>
        <x:v>487619.4973083845</x:v>
      </x:c>
    </x:row>
    <x:row r="36" ht="19" customHeight="1">
      <x:c r="A36" s="21" t="str">
        <x:v>Closing assets</x:v>
      </x:c>
      <x:c r="B36" s="21"/>
      <x:c r="C36" s="20" t="n">
        <x:f>'02_Raw_Financials'!C25</x:f>
        <x:v>82363.35</x:v>
      </x:c>
      <x:c r="D36" s="20" t="n">
        <x:f>'02_Raw_Financials'!D25</x:f>
        <x:v>113515.51</x:v>
      </x:c>
      <x:c r="E36" s="20" t="n">
        <x:f>'02_Raw_Financials'!E25</x:f>
        <x:v>156450.77</x:v>
      </x:c>
      <x:c r="F36" s="20" t="n">
        <x:f>'02_Raw_Financials'!F25</x:f>
        <x:v>201647.59</x:v>
      </x:c>
      <x:c r="G36" s="20" t="n">
        <x:f>'02_Raw_Financials'!G25</x:f>
        <x:v>245069.85</x:v>
      </x:c>
      <x:c r="H36" s="20" t="n">
        <x:f>'08_Balance_Sheet'!H12</x:f>
        <x:v>298985.21699999995</x:v>
      </x:c>
      <x:c r="I36" s="20" t="n">
        <x:f>'08_Balance_Sheet'!I12</x:f>
        <x:v>358782.2603999999</x:v>
      </x:c>
      <x:c r="J36" s="20" t="n">
        <x:f>'08_Balance_Sheet'!J12</x:f>
        <x:v>423363.0672719999</x:v>
      </x:c>
      <x:c r="K36" s="20" t="n">
        <x:f>'08_Balance_Sheet'!K12</x:f>
        <x:v>495334.7887082399</x:v>
      </x:c>
      <x:c r="L36" s="20" t="n">
        <x:f>'08_Balance_Sheet'!L12</x:f>
        <x:v>574588.3549015581</x:v>
      </x:c>
    </x:row>
    <x:row r="37" ht="19" customHeight="1">
      <x:c r="A37" s="21" t="str">
        <x:v>Book equity / net loans</x:v>
      </x:c>
      <x:c r="B37" s="21"/>
      <x:c r="C37" s="18" t="n">
        <x:f>C33/C10</x:f>
        <x:v>0.15789352307327345</x:v>
      </x:c>
      <x:c r="D37" s="18" t="n">
        <x:f>D33/D10</x:f>
        <x:v>0.13647999318748022</x:v>
      </x:c>
      <x:c r="E37" s="18" t="n">
        <x:f>E33/E10</x:f>
        <x:v>0.13541011695470337</x:v>
      </x:c>
      <x:c r="F37" s="18" t="n">
        <x:f>F33/F10</x:f>
        <x:v>0.1298709008249881</x:v>
      </x:c>
      <x:c r="G37" s="18" t="n">
        <x:f>G33/G10</x:f>
        <x:v>0.13974287768654634</x:v>
      </x:c>
      <x:c r="H37" s="18" t="n">
        <x:f>H33/H10</x:f>
        <x:v>0.1411804500825848</x:v>
      </x:c>
      <x:c r="I37" s="18" t="n">
        <x:f>I33/I10</x:f>
        <x:v>0.1420961962078083</x:v>
      </x:c>
      <x:c r="J37" s="18" t="n">
        <x:f>J33/J10</x:f>
        <x:v>0.14505466092325503</x:v>
      </x:c>
      <x:c r="K37" s="18" t="n">
        <x:f>K33/K10</x:f>
        <x:v>0.1487090801387276</x:v>
      </x:c>
      <x:c r="L37" s="18" t="n">
        <x:f>L33/L10</x:f>
        <x:v>0.15302646735793762</x:v>
      </x:c>
    </x:row>
    <x:row r="38" ht="19" customHeight="1">
      <x:c r="A38" s="21" t="str">
        <x:v>New equity funding</x:v>
      </x:c>
      <x:c r="B38" s="21"/>
      <x:c r="C38" s="21" t="str">
        <x:v>n.a.</x:v>
      </x:c>
      <x:c r="D38" s="21" t="str">
        <x:v>n.a.</x:v>
      </x:c>
      <x:c r="E38" s="21" t="str">
        <x:v>n.a.</x:v>
      </x:c>
      <x:c r="F38" s="21" t="str">
        <x:v>n.a.</x:v>
      </x:c>
      <x:c r="G38" s="21" t="str">
        <x:v>n.a.</x:v>
      </x:c>
      <x:c r="H38" s="21" t="n">
        <x:f>MAX(0,H34-(H30+H31-H32+H39))</x:f>
        <x:v>0</x:v>
      </x:c>
      <x:c r="I38" s="21" t="n">
        <x:f>MAX(0,I34-(I30+I31-I32+I39))</x:f>
        <x:v>0</x:v>
      </x:c>
      <x:c r="J38" s="21" t="n">
        <x:f>MAX(0,J34-(J30+J31-J32+J39))</x:f>
        <x:v>0</x:v>
      </x:c>
      <x:c r="K38" s="21" t="n">
        <x:f>MAX(0,K34-(K30+K31-K32+K39))</x:f>
        <x:v>0</x:v>
      </x:c>
      <x:c r="L38" s="21" t="n">
        <x:f>MAX(0,L34-(L30+L31-L32+L39))</x:f>
        <x:v>0</x:v>
      </x:c>
    </x:row>
    <x:row r="39" ht="19" customHeight="1">
      <x:c r="A39" s="21" t="str">
        <x:v>CCD conversion to equity</x:v>
      </x:c>
      <x:c r="B39" s="21"/>
      <x:c r="C39" s="21" t="str">
        <x:v>n.a.</x:v>
      </x:c>
      <x:c r="D39" s="21" t="str">
        <x:v>n.a.</x:v>
      </x:c>
      <x:c r="E39" s="21" t="str">
        <x:v>n.a.</x:v>
      </x:c>
      <x:c r="F39" s="21" t="str">
        <x:v>n.a.</x:v>
      </x:c>
      <x:c r="G39" s="21" t="str">
        <x:v>n.a.</x:v>
      </x:c>
      <x:c r="H39" s="20" t="n">
        <x:f>'02_Raw_Financials'!G56</x:f>
        <x:v>630</x:v>
      </x:c>
      <x:c r="I39" s="21" t="n">
        <x:f>0</x:f>
        <x:v>0</x:v>
      </x:c>
      <x:c r="J39" s="21" t="n">
        <x:f>0</x:f>
        <x:v>0</x:v>
      </x:c>
      <x:c r="K39" s="21" t="n">
        <x:f>0</x:f>
        <x:v>0</x:v>
      </x:c>
      <x:c r="L39" s="21" t="n">
        <x:f>0</x:f>
        <x:v>0</x:v>
      </x:c>
    </x:row>
    <x:row r="40" ht="8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 ht="19" customHeight="1">
      <x:c r="A41" s="91" t="str">
        <x:v>Net income includes non-interest income. Equity reflects profit, dividends and CCD conversion.</x:v>
      </x:c>
      <x:c r="B41" s="91"/>
      <x:c r="C41" s="91"/>
      <x:c r="D41" s="91"/>
      <x:c r="E41" s="91"/>
      <x:c r="F41" s="91"/>
      <x:c r="G41" s="91"/>
      <x:c r="H41" s="91"/>
      <x:c r="I41" s="91"/>
      <x:c r="J41" s="91"/>
      <x:c r="K41" s="91"/>
      <x:c r="L41" s="91"/>
    </x:row>
    <x:row r="42" ht="19" customHeight="1">
      <x:c r="A42" s="91" t="str">
        <x:v>Borrowings fund the remaining assets after equity and other liabilities.</x:v>
      </x:c>
      <x:c r="B42" s="91"/>
      <x:c r="C42" s="91"/>
      <x:c r="D42" s="91"/>
      <x:c r="E42" s="91"/>
      <x:c r="F42" s="91"/>
      <x:c r="G42" s="91"/>
      <x:c r="H42" s="91"/>
      <x:c r="I42" s="91"/>
      <x:c r="J42" s="91"/>
      <x:c r="K42" s="91"/>
      <x:c r="L42" s="91"/>
    </x:row>
    <x:row r="43" ht="8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 ht="8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 ht="8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 ht="8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 ht="8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 ht="8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 ht="8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 ht="8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 ht="8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 ht="8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 ht="8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 ht="8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 ht="8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 ht="8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 ht="8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 ht="8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 ht="8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 ht="8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 ht="8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 ht="8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 ht="8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 ht="8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 ht="8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7" customHeight="1">
      <x:c r="A1" s="94" t="str">
        <x:v>Income Statement</x:v>
      </x:c>
      <x:c r="B1" s="94"/>
      <x:c r="C1" s="95"/>
      <x:c r="D1" s="95"/>
      <x:c r="E1" s="95"/>
      <x:c r="F1" s="95"/>
      <x:c r="G1" s="95"/>
      <x:c r="H1" s="95"/>
      <x:c r="I1" s="95"/>
      <x:c r="J1" s="95"/>
      <x:c r="K1" s="95"/>
      <x:c r="L1" s="95"/>
    </x:row>
    <x:row r="2" ht="8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9" customHeight="1">
      <x:c r="A3" s="21" t="str">
        <x:v>Standalone | INR crore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8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19" customHeight="1">
      <x:c r="A5" s="32" t="str">
        <x:v>Metric</x:v>
      </x:c>
      <x:c r="B5" s="32" t="str"/>
      <x:c r="C5" s="32" t="str">
        <x:v>FY2022A</x:v>
      </x:c>
      <x:c r="D5" s="32" t="str">
        <x:v>FY2023A</x:v>
      </x:c>
      <x:c r="E5" s="32" t="str">
        <x:v>FY2024A</x:v>
      </x:c>
      <x:c r="F5" s="32" t="str">
        <x:v>FY2025A</x:v>
      </x:c>
      <x:c r="G5" s="32" t="str">
        <x:v>FY2026A</x:v>
      </x:c>
      <x:c r="H5" s="32" t="str">
        <x:v>FY2027E</x:v>
      </x:c>
      <x:c r="I5" s="32" t="str">
        <x:v>FY2028E</x:v>
      </x:c>
      <x:c r="J5" s="32" t="str">
        <x:v>FY2029E</x:v>
      </x:c>
      <x:c r="K5" s="32" t="str">
        <x:v>FY2030E</x:v>
      </x:c>
      <x:c r="L5" s="32" t="str">
        <x:v>FY2031E</x:v>
      </x:c>
    </x:row>
    <x:row r="6" ht="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 ht="19" customHeight="1">
      <x:c r="A7" s="33" t="str">
        <x:v>Profit and loss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</x:row>
    <x:row r="8" ht="19" customHeight="1">
      <x:c r="A8" s="21" t="str">
        <x:v>Interest income</x:v>
      </x:c>
      <x:c r="B8" s="21"/>
      <x:c r="C8" s="20" t="n">
        <x:f>'02_Raw_Financials'!C8</x:f>
        <x:v>9566.81</x:v>
      </x:c>
      <x:c r="D8" s="20" t="n">
        <x:f>'02_Raw_Financials'!D8</x:f>
        <x:v>12082.18</x:v>
      </x:c>
      <x:c r="E8" s="20" t="n">
        <x:f>'02_Raw_Financials'!E8</x:f>
        <x:v>17613.68</x:v>
      </x:c>
      <x:c r="F8" s="20" t="n">
        <x:f>'02_Raw_Financials'!F8</x:f>
        <x:v>23719.96</x:v>
      </x:c>
      <x:c r="G8" s="20" t="n">
        <x:f>'02_Raw_Financials'!G8</x:f>
        <x:v>28372.63</x:v>
      </x:c>
      <x:c r="H8" s="20" t="n">
        <x:f>'06_Schedules'!H17</x:f>
        <x:v>34464.82578946385</x:v>
      </x:c>
      <x:c r="I8" s="20" t="n">
        <x:f>'06_Schedules'!I17</x:f>
        <x:v>41925.58342687735</x:v>
      </x:c>
      <x:c r="J8" s="20" t="n">
        <x:f>'06_Schedules'!J17</x:f>
        <x:v>49800.092119614754</x:v>
      </x:c>
      <x:c r="K8" s="20" t="n">
        <x:f>'06_Schedules'!K17</x:f>
        <x:v>58391.41996401739</x:v>
      </x:c>
      <x:c r="L8" s="20" t="n">
        <x:f>'06_Schedules'!L17</x:f>
        <x:v>67858.65580313132</x:v>
      </x:c>
    </x:row>
    <x:row r="9" ht="19" customHeight="1">
      <x:c r="A9" s="21" t="str">
        <x:v>Non-interest income including other income</x:v>
      </x:c>
      <x:c r="B9" s="21"/>
      <x:c r="C9" s="20" t="n">
        <x:f>'02_Raw_Financials'!C9</x:f>
        <x:v>571.96</x:v>
      </x:c>
      <x:c r="D9" s="20" t="n">
        <x:f>'02_Raw_Financials'!D9</x:f>
        <x:v>895.8</x:v>
      </x:c>
      <x:c r="E9" s="20" t="n">
        <x:f>'02_Raw_Financials'!E9</x:f>
        <x:v>1602.6</x:v>
      </x:c>
      <x:c r="F9" s="20" t="n">
        <x:f>'02_Raw_Financials'!F9</x:f>
        <x:v>2334.8</x:v>
      </x:c>
      <x:c r="G9" s="20" t="n">
        <x:f>'02_Raw_Financials'!G9</x:f>
        <x:v>3072.21</x:v>
      </x:c>
      <x:c r="H9" s="20" t="n">
        <x:f>'06_Schedules'!H20</x:f>
        <x:v>3714.387970558055</x:v>
      </x:c>
      <x:c r="I9" s="20" t="n">
        <x:f>'06_Schedules'!I20</x:f>
        <x:v>4490.728519359377</x:v>
      </x:c>
      <x:c r="J9" s="20" t="n">
        <x:f>'06_Schedules'!J20</x:f>
        <x:v>5339.884457565515</x:v>
      </x:c>
      <x:c r="K9" s="20" t="n">
        <x:f>'06_Schedules'!K20</x:f>
        <x:v>6272.159698184521</x:v>
      </x:c>
      <x:c r="L9" s="20" t="n">
        <x:f>'06_Schedules'!L20</x:f>
        <x:v>7304.60921163683</x:v>
      </x:c>
    </x:row>
    <x:row r="10" ht="19" customHeight="1">
      <x:c r="A10" s="34" t="str">
        <x:v>Total income</x:v>
      </x:c>
      <x:c r="B10" s="34"/>
      <x:c r="C10" s="35" t="n">
        <x:f>SUM(C8:C9)</x:f>
        <x:v>10138.77</x:v>
      </x:c>
      <x:c r="D10" s="35" t="n">
        <x:f>SUM(D8:D9)</x:f>
        <x:v>12977.98</x:v>
      </x:c>
      <x:c r="E10" s="35" t="n">
        <x:f>SUM(E8:E9)</x:f>
        <x:v>19216.28</x:v>
      </x:c>
      <x:c r="F10" s="35" t="n">
        <x:f>SUM(F8:F9)</x:f>
        <x:v>26054.76</x:v>
      </x:c>
      <x:c r="G10" s="35" t="n">
        <x:f>SUM(G8:G9)</x:f>
        <x:v>31444.84</x:v>
      </x:c>
      <x:c r="H10" s="35" t="n">
        <x:f>SUM(H8:H9)</x:f>
        <x:v>38179.21376002191</x:v>
      </x:c>
      <x:c r="I10" s="35" t="n">
        <x:f>SUM(I8:I9)</x:f>
        <x:v>46416.311946236725</x:v>
      </x:c>
      <x:c r="J10" s="35" t="n">
        <x:f>SUM(J8:J9)</x:f>
        <x:v>55139.97657718027</x:v>
      </x:c>
      <x:c r="K10" s="35" t="n">
        <x:f>SUM(K8:K9)</x:f>
        <x:v>64663.57966220191</x:v>
      </x:c>
      <x:c r="L10" s="35" t="n">
        <x:f>SUM(L8:L9)</x:f>
        <x:v>75163.26501476814</x:v>
      </x:c>
    </x:row>
    <x:row r="11" ht="19" customHeight="1">
      <x:c r="A11" s="21" t="str">
        <x:v>Finance costs</x:v>
      </x:c>
      <x:c r="B11" s="21"/>
      <x:c r="C11" s="20" t="n">
        <x:f>'02_Raw_Financials'!C11</x:f>
        <x:v>4298.82</x:v>
      </x:c>
      <x:c r="D11" s="20" t="n">
        <x:f>'02_Raw_Financials'!D11</x:f>
        <x:v>5748.75</x:v>
      </x:c>
      <x:c r="E11" s="20" t="n">
        <x:f>'02_Raw_Financials'!E11</x:f>
        <x:v>9230.61</x:v>
      </x:c>
      <x:c r="F11" s="20" t="n">
        <x:f>'02_Raw_Financials'!F11</x:f>
        <x:v>12484.85</x:v>
      </x:c>
      <x:c r="G11" s="20" t="n">
        <x:f>'02_Raw_Financials'!G11</x:f>
        <x:v>14374.2</x:v>
      </x:c>
      <x:c r="H11" s="20" t="n">
        <x:f>'06_Schedules'!H18</x:f>
        <x:v>17540.331696059107</x:v>
      </x:c>
      <x:c r="I11" s="20" t="n">
        <x:f>'06_Schedules'!I18</x:f>
        <x:v>21463.717595031256</x:v>
      </x:c>
      <x:c r="J11" s="20" t="n">
        <x:f>'06_Schedules'!J18</x:f>
        <x:v>25469.07347592866</x:v>
      </x:c>
      <x:c r="K11" s="20" t="n">
        <x:f>'06_Schedules'!K18</x:f>
        <x:v>29812.517973640057</x:v>
      </x:c>
      <x:c r="L11" s="20" t="n">
        <x:f>'06_Schedules'!L18</x:f>
        <x:v>34575.42948512137</x:v>
      </x:c>
    </x:row>
    <x:row r="12" ht="19" customHeight="1">
      <x:c r="A12" s="21" t="str">
        <x:v>Impairment / credit costs</x:v>
      </x:c>
      <x:c r="B12" s="21"/>
      <x:c r="C12" s="20" t="n">
        <x:f>'02_Raw_Financials'!C12</x:f>
        <x:v>880.3</x:v>
      </x:c>
      <x:c r="D12" s="20" t="n">
        <x:f>'02_Raw_Financials'!D12</x:f>
        <x:v>849.68</x:v>
      </x:c>
      <x:c r="E12" s="20" t="n">
        <x:f>'02_Raw_Financials'!E12</x:f>
        <x:v>1321.8</x:v>
      </x:c>
      <x:c r="F12" s="20" t="n">
        <x:f>'02_Raw_Financials'!F12</x:f>
        <x:v>2494.26</x:v>
      </x:c>
      <x:c r="G12" s="20" t="n">
        <x:f>'02_Raw_Financials'!G12</x:f>
        <x:v>3535.83</x:v>
      </x:c>
      <x:c r="H12" s="20" t="n">
        <x:f>'06_Schedules'!H22</x:f>
        <x:v>3869.790386993025</x:v>
      </x:c>
      <x:c r="I12" s="20" t="n">
        <x:f>'06_Schedules'!I22</x:f>
        <x:v>4678.611440851026</x:v>
      </x:c>
      <x:c r="J12" s="20" t="n">
        <x:f>'06_Schedules'!J22</x:f>
        <x:v>5563.294331484675</x:v>
      </x:c>
      <x:c r="K12" s="20" t="n">
        <x:f>'06_Schedules'!K22</x:f>
        <x:v>6534.574066605347</x:v>
      </x:c>
      <x:c r="L12" s="20" t="n">
        <x:f>'06_Schedules'!L22</x:f>
        <x:v>7610.219161808771</x:v>
      </x:c>
    </x:row>
    <x:row r="13" ht="19" customHeight="1">
      <x:c r="A13" s="21" t="str">
        <x:v>Operating expenses</x:v>
      </x:c>
      <x:c r="B13" s="21"/>
      <x:c r="C13" s="20" t="n">
        <x:f>'02_Raw_Financials'!C13+'02_Raw_Financials'!C15</x:f>
        <x:v>1971.36</x:v>
      </x:c>
      <x:c r="D13" s="20" t="n">
        <x:f>'02_Raw_Financials'!D13+'02_Raw_Financials'!D15</x:f>
        <x:v>2660.98</x:v>
      </x:c>
      <x:c r="E13" s="20" t="n">
        <x:f>'02_Raw_Financials'!E13+'02_Raw_Financials'!E15</x:f>
        <x:v>3886</x:v>
      </x:c>
      <x:c r="F13" s="20" t="n">
        <x:f>'02_Raw_Financials'!F13+'02_Raw_Financials'!F15</x:f>
        <x:v>5096.66</x:v>
      </x:c>
      <x:c r="G13" s="20" t="n">
        <x:f>'02_Raw_Financials'!G13+'02_Raw_Financials'!G15</x:f>
        <x:v>6292.83</x:v>
      </x:c>
      <x:c r="H13" s="20" t="n">
        <x:f>'06_Schedules'!H21</x:f>
        <x:v>7528.4500245527115</x:v>
      </x:c>
      <x:c r="I13" s="20" t="n">
        <x:f>'06_Schedules'!I21</x:f>
        <x:v>9101.963903558322</x:v>
      </x:c>
      <x:c r="J13" s="20" t="n">
        <x:f>'06_Schedules'!J21</x:f>
        <x:v>10823.062532594806</x:v>
      </x:c>
      <x:c r="K13" s="20" t="n">
        <x:f>'06_Schedules'!K21</x:f>
        <x:v>12712.630238973512</x:v>
      </x:c>
      <x:c r="L13" s="20" t="n">
        <x:f>'06_Schedules'!L21</x:f>
        <x:v>14805.234626697631</x:v>
      </x:c>
    </x:row>
    <x:row r="14" ht="19" customHeight="1">
      <x:c r="A14" s="21" t="str">
        <x:v>Depreciation and amortisation</x:v>
      </x:c>
      <x:c r="B14" s="21"/>
      <x:c r="C14" s="20" t="n">
        <x:f>'02_Raw_Financials'!C14</x:f>
        <x:v>97.35</x:v>
      </x:c>
      <x:c r="D14" s="20" t="n">
        <x:f>'02_Raw_Financials'!D14</x:f>
        <x:v>118.88</x:v>
      </x:c>
      <x:c r="E14" s="20" t="n">
        <x:f>'02_Raw_Financials'!E14</x:f>
        <x:v>195.77</x:v>
      </x:c>
      <x:c r="F14" s="20" t="n">
        <x:f>'02_Raw_Financials'!F14</x:f>
        <x:v>242.12</x:v>
      </x:c>
      <x:c r="G14" s="20" t="n">
        <x:f>'02_Raw_Financials'!G14</x:f>
        <x:v>281.32</x:v>
      </x:c>
      <x:c r="H14" s="20" t="n">
        <x:f>'06_Schedules'!H23</x:f>
        <x:v>340.12376233310613</x:v>
      </x:c>
      <x:c r="I14" s="20" t="n">
        <x:f>'06_Schedules'!I23</x:f>
        <x:v>411.21269283876427</x:v>
      </x:c>
      <x:c r="J14" s="20" t="n">
        <x:f>'06_Schedules'!J23</x:f>
        <x:v>488.96927475736703</x:v>
      </x:c>
      <x:c r="K14" s="20" t="n">
        <x:f>'06_Schedules'!K23</x:f>
        <x:v>574.3370297906945</x:v>
      </x:c>
      <x:c r="L14" s="20" t="n">
        <x:f>'06_Schedules'!L23</x:f>
        <x:v>668.8776689802041</x:v>
      </x:c>
    </x:row>
    <x:row r="15" ht="19" customHeight="1">
      <x:c r="A15" s="34" t="str">
        <x:v>Profit before tax</x:v>
      </x:c>
      <x:c r="B15" s="34"/>
      <x:c r="C15" s="35" t="n">
        <x:f>C10-SUM(C11:C14)</x:f>
        <x:v>2890.9400000000005</x:v>
      </x:c>
      <x:c r="D15" s="35" t="n">
        <x:f>D10-SUM(D11:D14)</x:f>
        <x:v>3599.6900000000005</x:v>
      </x:c>
      <x:c r="E15" s="35" t="n">
        <x:f>E10-SUM(E11:E14)</x:f>
        <x:v>4582.0999999999985</x:v>
      </x:c>
      <x:c r="F15" s="35" t="n">
        <x:f>F10-SUM(F11:F14)</x:f>
        <x:v>5736.869999999999</x:v>
      </x:c>
      <x:c r="G15" s="35" t="n">
        <x:f>G10-SUM(G11:G14)</x:f>
        <x:v>6960.66</x:v>
      </x:c>
      <x:c r="H15" s="35" t="n">
        <x:f>H10-SUM(H11:H14)</x:f>
        <x:v>8900.517890083953</x:v>
      </x:c>
      <x:c r="I15" s="35" t="n">
        <x:f>I10-SUM(I11:I14)</x:f>
        <x:v>10760.806313957357</x:v>
      </x:c>
      <x:c r="J15" s="35" t="n">
        <x:f>J10-SUM(J11:J14)</x:f>
        <x:v>12795.576962414765</x:v>
      </x:c>
      <x:c r="K15" s="35" t="n">
        <x:f>K10-SUM(K11:K14)</x:f>
        <x:v>15029.520353192296</x:v>
      </x:c>
      <x:c r="L15" s="35" t="n">
        <x:f>L10-SUM(L11:L14)</x:f>
        <x:v>17503.50407216016</x:v>
      </x:c>
    </x:row>
    <x:row r="16" ht="19" customHeight="1">
      <x:c r="A16" s="21" t="str">
        <x:v>Tax expense</x:v>
      </x:c>
      <x:c r="B16" s="21"/>
      <x:c r="C16" s="20" t="n">
        <x:f>'02_Raw_Financials'!C17</x:f>
        <x:v>744.23</x:v>
      </x:c>
      <x:c r="D16" s="20" t="n">
        <x:f>'02_Raw_Financials'!D17</x:f>
        <x:v>933.49</x:v>
      </x:c>
      <x:c r="E16" s="20" t="n">
        <x:f>'02_Raw_Financials'!E17</x:f>
        <x:v>1159.34</x:v>
      </x:c>
      <x:c r="F16" s="20" t="n">
        <x:f>'02_Raw_Financials'!F17</x:f>
        <x:v>1478.34</x:v>
      </x:c>
      <x:c r="G16" s="20" t="n">
        <x:f>'02_Raw_Financials'!G17</x:f>
        <x:v>1741.07</x:v>
      </x:c>
      <x:c r="H16" s="20" t="n">
        <x:f>'06_Schedules'!H25</x:f>
        <x:v>2240.2603529341327</x:v>
      </x:c>
      <x:c r="I16" s="20" t="n">
        <x:f>'06_Schedules'!I25</x:f>
        <x:v>2708.4949492230676</x:v>
      </x:c>
      <x:c r="J16" s="20" t="n">
        <x:f>'06_Schedules'!J25</x:f>
        <x:v>3220.646721439794</x:v>
      </x:c>
      <x:c r="K16" s="20" t="n">
        <x:f>'06_Schedules'!K25</x:f>
        <x:v>3782.930272898501</x:v>
      </x:c>
      <x:c r="L16" s="20" t="n">
        <x:f>'06_Schedules'!L25</x:f>
        <x:v>4405.6319749627155</x:v>
      </x:c>
    </x:row>
    <x:row r="17" ht="19" customHeight="1">
      <x:c r="A17" s="34" t="str">
        <x:v>Profit after tax</x:v>
      </x:c>
      <x:c r="B17" s="34"/>
      <x:c r="C17" s="35" t="n">
        <x:f>C15-C16</x:f>
        <x:v>2146.7100000000005</x:v>
      </x:c>
      <x:c r="D17" s="35" t="n">
        <x:f>D15-D16</x:f>
        <x:v>2666.2000000000007</x:v>
      </x:c>
      <x:c r="E17" s="35" t="n">
        <x:f>E15-E16</x:f>
        <x:v>3422.7599999999984</x:v>
      </x:c>
      <x:c r="F17" s="35" t="n">
        <x:f>F15-F16</x:f>
        <x:v>4258.529999999999</x:v>
      </x:c>
      <x:c r="G17" s="35" t="n">
        <x:f>G15-G16</x:f>
        <x:v>5219.59</x:v>
      </x:c>
      <x:c r="H17" s="35" t="n">
        <x:f>H15-H16</x:f>
        <x:v>6660.257537149821</x:v>
      </x:c>
      <x:c r="I17" s="35" t="n">
        <x:f>I15-I16</x:f>
        <x:v>8052.311364734289</x:v>
      </x:c>
      <x:c r="J17" s="35" t="n">
        <x:f>J15-J16</x:f>
        <x:v>9574.93024097497</x:v>
      </x:c>
      <x:c r="K17" s="35" t="n">
        <x:f>K15-K16</x:f>
        <x:v>11246.590080293796</x:v>
      </x:c>
      <x:c r="L17" s="35" t="n">
        <x:f>L15-L16</x:f>
        <x:v>13097.872097197447</x:v>
      </x:c>
    </x:row>
    <x:row r="18" ht="19" customHeight="1">
      <x:c r="A18" s="21" t="str">
        <x:v>Net income margin (management basis)</x:v>
      </x:c>
      <x:c r="B18" s="21"/>
      <x:c r="C18" s="9" t="n">
        <x:f>'02_Raw_Financials'!C39</x:f>
        <x:v>0.079</x:v>
      </x:c>
      <x:c r="D18" s="9" t="n">
        <x:f>'02_Raw_Financials'!D39</x:f>
        <x:v>0.077</x:v>
      </x:c>
      <x:c r="E18" s="9" t="n">
        <x:f>'02_Raw_Financials'!E39</x:f>
        <x:v>0.075</x:v>
      </x:c>
      <x:c r="F18" s="9" t="n">
        <x:f>'02_Raw_Financials'!F39</x:f>
        <x:v>0.077</x:v>
      </x:c>
      <x:c r="G18" s="9" t="n">
        <x:f>'02_Raw_Financials'!G39</x:f>
        <x:v>0.08</x:v>
      </x:c>
      <x:c r="H18" s="9" t="n">
        <x:f>'06_Schedules'!H19/'06_Schedules'!H14</x:f>
        <x:v>0.08</x:v>
      </x:c>
      <x:c r="I18" s="9" t="n">
        <x:f>'06_Schedules'!I19/'06_Schedules'!I14</x:f>
        <x:v>0.08</x:v>
      </x:c>
      <x:c r="J18" s="9" t="n">
        <x:f>'06_Schedules'!J19/'06_Schedules'!J14</x:f>
        <x:v>0.08</x:v>
      </x:c>
      <x:c r="K18" s="9" t="n">
        <x:f>'06_Schedules'!K19/'06_Schedules'!K14</x:f>
        <x:v>0.07999999999999999</x:v>
      </x:c>
      <x:c r="L18" s="9" t="n">
        <x:f>'06_Schedules'!L19/'06_Schedules'!L14</x:f>
        <x:v>0.08</x:v>
      </x:c>
    </x:row>
    <x:row r="19" ht="19" customHeight="1">
      <x:c r="A19" s="21" t="str">
        <x:v>Pre-tax ROA (management basis)</x:v>
      </x:c>
      <x:c r="B19" s="21"/>
      <x:c r="C19" s="79" t="n">
        <x:f>'02_Raw_Financials'!C42</x:f>
        <x:v>0.039</x:v>
      </x:c>
      <x:c r="D19" s="79" t="n">
        <x:f>'02_Raw_Financials'!D42</x:f>
        <x:v>0.038</x:v>
      </x:c>
      <x:c r="E19" s="79" t="n">
        <x:f>'02_Raw_Financials'!E42</x:f>
        <x:v>0.034</x:v>
      </x:c>
      <x:c r="F19" s="79" t="n">
        <x:f>'02_Raw_Financials'!F42</x:f>
        <x:v>0.033</x:v>
      </x:c>
      <x:c r="G19" s="79" t="n">
        <x:f>'02_Raw_Financials'!G42</x:f>
        <x:v>0.033</x:v>
      </x:c>
      <x:c r="H19" s="79" t="n">
        <x:f>H15/'06_Schedules'!H14</x:f>
        <x:v>0.03449999999999998</x:v>
      </x:c>
      <x:c r="I19" s="79" t="n">
        <x:f>I15/'06_Schedules'!I14</x:f>
        <x:v>0.03449999999999999</x:v>
      </x:c>
      <x:c r="J19" s="79" t="n">
        <x:f>J15/'06_Schedules'!J14</x:f>
        <x:v>0.03450000000000003</x:v>
      </x:c>
      <x:c r="K19" s="79" t="n">
        <x:f>K15/'06_Schedules'!K14</x:f>
        <x:v>0.03449999999999999</x:v>
      </x:c>
      <x:c r="L19" s="79" t="n">
        <x:f>L15/'06_Schedules'!L14</x:f>
        <x:v>0.034499999999999975</x:v>
      </x:c>
    </x:row>
    <x:row r="20" ht="19" customHeight="1">
      <x:c r="A20" s="21" t="str">
        <x:v>ROE</x:v>
      </x:c>
      <x:c r="B20" s="21"/>
      <x:c r="C20" s="9" t="n">
        <x:f>'02_Raw_Financials'!C43</x:f>
        <x:v>0.204</x:v>
      </x:c>
      <x:c r="D20" s="9" t="n">
        <x:f>'02_Raw_Financials'!D43</x:f>
        <x:v>0.206</x:v>
      </x:c>
      <x:c r="E20" s="9" t="n">
        <x:f>'02_Raw_Financials'!E43</x:f>
        <x:v>0.206</x:v>
      </x:c>
      <x:c r="F20" s="9" t="n">
        <x:f>'02_Raw_Financials'!F43</x:f>
        <x:v>0.198</x:v>
      </x:c>
      <x:c r="G20" s="9" t="n">
        <x:f>'02_Raw_Financials'!G43</x:f>
        <x:v>0.197</x:v>
      </x:c>
      <x:c r="H20" s="9" t="n">
        <x:f>H17/AVERAGE('06_Schedules'!G33,'06_Schedules'!H33)</x:f>
        <x:v>0.19624053714496464</x:v>
      </x:c>
      <x:c r="I20" s="9" t="n">
        <x:f>I17/AVERAGE('06_Schedules'!H33,'06_Schedules'!I33)</x:f>
        <x:v>0.19465175691195988</x:v>
      </x:c>
      <x:c r="J20" s="9" t="n">
        <x:f>J17/AVERAGE('06_Schedules'!I33,'06_Schedules'!J33)</x:f>
        <x:v>0.19191870373209155</x:v>
      </x:c>
      <x:c r="K20" s="9" t="n">
        <x:f>K17/AVERAGE('06_Schedules'!J33,'06_Schedules'!K33)</x:f>
        <x:v>0.18757522729568055</x:v>
      </x:c>
      <x:c r="L20" s="9" t="n">
        <x:f>L17/AVERAGE('06_Schedules'!K33,'06_Schedules'!L33)</x:f>
        <x:v>0.18260395275277166</x:v>
      </x:c>
    </x:row>
    <x:row r="21" ht="8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 ht="8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</x:row>
    <x:row r="23" ht="19" customHeight="1">
      <x:c r="A23" s="91" t="str">
        <x:v>Historical ROA and ROE are company disclosures. Forecast ROA uses the calibrated average-asset base.</x:v>
      </x:c>
      <x:c r="B23" s="91"/>
      <x:c r="C23" s="91"/>
      <x:c r="D23" s="91"/>
      <x:c r="E23" s="91"/>
      <x:c r="F23" s="91"/>
      <x:c r="G23" s="91"/>
      <x:c r="H23" s="91"/>
      <x:c r="I23" s="91"/>
      <x:c r="J23" s="91"/>
      <x:c r="K23" s="91"/>
      <x:c r="L23" s="91"/>
    </x:row>
    <x:row r="24" ht="19" customHeight="1">
      <x:c r="A24" s="91" t="str">
        <x:v>Forecast ROE uses average book equity.</x:v>
      </x:c>
      <x:c r="B24" s="91"/>
      <x:c r="C24" s="91"/>
      <x:c r="D24" s="91"/>
      <x:c r="E24" s="91"/>
      <x:c r="F24" s="91"/>
      <x:c r="G24" s="91"/>
      <x:c r="H24" s="91"/>
      <x:c r="I24" s="91"/>
      <x:c r="J24" s="91"/>
      <x:c r="K24" s="91"/>
      <x:c r="L24" s="91"/>
    </x:row>
    <x:row r="25" ht="8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 ht="8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 ht="8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 ht="8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 ht="8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 ht="8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 ht="8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 ht="8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 ht="8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 ht="8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 ht="8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 ht="8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 ht="8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 ht="8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 ht="8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 ht="8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 ht="8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 ht="8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 ht="8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 ht="8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 ht="8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 ht="8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 ht="8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 ht="8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 ht="8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 ht="8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 ht="8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 ht="8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 ht="8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 ht="8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 ht="8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 ht="8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 ht="8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 ht="8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 ht="8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 ht="8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 ht="8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 ht="8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 ht="8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 ht="8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 ht="8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7" customHeight="1">
      <x:c r="A1" s="94" t="str">
        <x:v>Balance Sheet</x:v>
      </x:c>
      <x:c r="B1" s="94"/>
      <x:c r="C1" s="95"/>
      <x:c r="D1" s="95"/>
      <x:c r="E1" s="95"/>
      <x:c r="F1" s="95"/>
      <x:c r="G1" s="95"/>
      <x:c r="H1" s="95"/>
      <x:c r="I1" s="95"/>
      <x:c r="J1" s="95"/>
      <x:c r="K1" s="95"/>
      <x:c r="L1" s="95"/>
    </x:row>
    <x:row r="2" ht="8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9" customHeight="1">
      <x:c r="A3" s="21" t="str">
        <x:v>Standalone | INR crore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8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19" customHeight="1">
      <x:c r="A5" s="32" t="str">
        <x:v>Metric</x:v>
      </x:c>
      <x:c r="B5" s="32" t="str"/>
      <x:c r="C5" s="32" t="str">
        <x:v>FY2022A</x:v>
      </x:c>
      <x:c r="D5" s="32" t="str">
        <x:v>FY2023A</x:v>
      </x:c>
      <x:c r="E5" s="32" t="str">
        <x:v>FY2024A</x:v>
      </x:c>
      <x:c r="F5" s="32" t="str">
        <x:v>FY2025A</x:v>
      </x:c>
      <x:c r="G5" s="32" t="str">
        <x:v>FY2026A</x:v>
      </x:c>
      <x:c r="H5" s="32" t="str">
        <x:v>FY2027E</x:v>
      </x:c>
      <x:c r="I5" s="32" t="str">
        <x:v>FY2028E</x:v>
      </x:c>
      <x:c r="J5" s="32" t="str">
        <x:v>FY2029E</x:v>
      </x:c>
      <x:c r="K5" s="32" t="str">
        <x:v>FY2030E</x:v>
      </x:c>
      <x:c r="L5" s="32" t="str">
        <x:v>FY2031E</x:v>
      </x:c>
    </x:row>
    <x:row r="6" ht="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 ht="19" customHeight="1">
      <x:c r="A7" s="33" t="str">
        <x:v>Assets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</x:row>
    <x:row r="8" ht="19" customHeight="1">
      <x:c r="A8" s="21" t="str">
        <x:v>Loans</x:v>
      </x:c>
      <x:c r="B8" s="21"/>
      <x:c r="C8" s="20" t="n">
        <x:f>'02_Raw_Financials'!C22</x:f>
        <x:v>74149.21</x:v>
      </x:c>
      <x:c r="D8" s="20" t="n">
        <x:f>'02_Raw_Financials'!D22</x:f>
        <x:v>104748.32</x:v>
      </x:c>
      <x:c r="E8" s="20" t="n">
        <x:f>'02_Raw_Financials'!E22</x:f>
        <x:v>144424.29</x:v>
      </x:c>
      <x:c r="F8" s="20" t="n">
        <x:f>'02_Raw_Financials'!F22</x:f>
        <x:v>181929.9</x:v>
      </x:c>
      <x:c r="G8" s="20" t="n">
        <x:f>'02_Raw_Financials'!G22</x:f>
        <x:v>217571.16</x:v>
      </x:c>
      <x:c r="H8" s="20" t="n">
        <x:f>'06_Schedules'!H10</x:f>
        <x:v>265436.81519999995</x:v>
      </x:c>
      <x:c r="I8" s="20" t="n">
        <x:f>'06_Schedules'!I10</x:f>
        <x:v>318524.1782399999</x:v>
      </x:c>
      <x:c r="J8" s="20" t="n">
        <x:f>'06_Schedules'!J10</x:f>
        <x:v>375858.5303231999</x:v>
      </x:c>
      <x:c r="K8" s="20" t="n">
        <x:f>'06_Schedules'!K10</x:f>
        <x:v>439754.4804781439</x:v>
      </x:c>
      <x:c r="L8" s="20" t="n">
        <x:f>'06_Schedules'!L10</x:f>
        <x:v>510115.19735464687</x:v>
      </x:c>
    </x:row>
    <x:row r="9" ht="19" customHeight="1">
      <x:c r="A9" s="21" t="str">
        <x:v>Cash and cash equivalents</x:v>
      </x:c>
      <x:c r="B9" s="21"/>
      <x:c r="C9" s="20" t="n">
        <x:f>'02_Raw_Financials'!C23</x:f>
        <x:v>2657.88</x:v>
      </x:c>
      <x:c r="D9" s="20" t="n">
        <x:f>'02_Raw_Financials'!D23</x:f>
        <x:v>910.29</x:v>
      </x:c>
      <x:c r="E9" s="20" t="n">
        <x:f>'02_Raw_Financials'!E23</x:f>
        <x:v>841.97</x:v>
      </x:c>
      <x:c r="F9" s="20" t="n">
        <x:f>'02_Raw_Financials'!F23</x:f>
        <x:v>5278.19</x:v>
      </x:c>
      <x:c r="G9" s="20" t="n">
        <x:f>'02_Raw_Financials'!G23</x:f>
        <x:v>8312.4</x:v>
      </x:c>
      <x:c r="H9" s="20" t="n">
        <x:f>H8*'05_Assumptions'!H21</x:f>
        <x:v>10141.127999999997</x:v>
      </x:c>
      <x:c r="I9" s="20" t="n">
        <x:f>I8*'05_Assumptions'!I21</x:f>
        <x:v>12169.353599999995</x:v>
      </x:c>
      <x:c r="J9" s="20" t="n">
        <x:f>J8*'05_Assumptions'!J21</x:f>
        <x:v>14359.837247999996</x:v>
      </x:c>
      <x:c r="K9" s="20" t="n">
        <x:f>K8*'05_Assumptions'!K21</x:f>
        <x:v>16801.009580159993</x:v>
      </x:c>
      <x:c r="L9" s="20" t="n">
        <x:f>L8*'05_Assumptions'!L21</x:f>
        <x:v>19489.17111298559</x:v>
      </x:c>
    </x:row>
    <x:row r="10" ht="19" customHeight="1">
      <x:c r="A10" s="21" t="str">
        <x:v>Investments</x:v>
      </x:c>
      <x:c r="B10" s="21"/>
      <x:c r="C10" s="20" t="n">
        <x:f>'02_Raw_Financials'!C24</x:f>
        <x:v>2076.16</x:v>
      </x:c>
      <x:c r="D10" s="20" t="n">
        <x:f>'02_Raw_Financials'!D24</x:f>
        <x:v>3620.02</x:v>
      </x:c>
      <x:c r="E10" s="20" t="n">
        <x:f>'02_Raw_Financials'!E24</x:f>
        <x:v>4100.23</x:v>
      </x:c>
      <x:c r="F10" s="20" t="n">
        <x:f>'02_Raw_Financials'!F24</x:f>
        <x:v>6390.39</x:v>
      </x:c>
      <x:c r="G10" s="20" t="n">
        <x:f>'02_Raw_Financials'!G24</x:f>
        <x:v>6638.05</x:v>
      </x:c>
      <x:c r="H10" s="20" t="n">
        <x:f>H8*'05_Assumptions'!H22</x:f>
        <x:v>8098.420999999999</x:v>
      </x:c>
      <x:c r="I10" s="20" t="n">
        <x:f>I8*'05_Assumptions'!I22</x:f>
        <x:v>9718.105199999998</x:v>
      </x:c>
      <x:c r="J10" s="20" t="n">
        <x:f>J8*'05_Assumptions'!J22</x:f>
        <x:v>11467.364135999998</x:v>
      </x:c>
      <x:c r="K10" s="20" t="n">
        <x:f>K8*'05_Assumptions'!K22</x:f>
        <x:v>13416.816039119998</x:v>
      </x:c>
      <x:c r="L10" s="20" t="n">
        <x:f>L8*'05_Assumptions'!L22</x:f>
        <x:v>15563.506605379196</x:v>
      </x:c>
    </x:row>
    <x:row r="11" ht="19" customHeight="1">
      <x:c r="A11" s="21" t="str">
        <x:v>Other assets</x:v>
      </x:c>
      <x:c r="B11" s="21"/>
      <x:c r="C11" s="21" t="n">
        <x:f>'02_Raw_Financials'!C25-C8-C9-C10</x:f>
        <x:v>3480.0999999999995</x:v>
      </x:c>
      <x:c r="D11" s="21" t="n">
        <x:f>'02_Raw_Financials'!D25-D8-D9-D10</x:f>
        <x:v>4236.879999999988</x:v>
      </x:c>
      <x:c r="E11" s="21" t="n">
        <x:f>'02_Raw_Financials'!E25-E8-E9-E10</x:f>
        <x:v>7084.2799999999825</x:v>
      </x:c>
      <x:c r="F11" s="21" t="n">
        <x:f>'02_Raw_Financials'!F25-F8-F9-F10</x:f>
        <x:v>8049.110000000003</x:v>
      </x:c>
      <x:c r="G11" s="21" t="n">
        <x:f>'02_Raw_Financials'!G25-G8-G9-G10</x:f>
        <x:v>12548.240000000002</x:v>
      </x:c>
      <x:c r="H11" s="20" t="n">
        <x:f>H8*'05_Assumptions'!H23</x:f>
        <x:v>15308.852799999999</x:v>
      </x:c>
      <x:c r="I11" s="20" t="n">
        <x:f>I8*'05_Assumptions'!I23</x:f>
        <x:v>18370.623359999998</x:v>
      </x:c>
      <x:c r="J11" s="20" t="n">
        <x:f>J8*'05_Assumptions'!J23</x:f>
        <x:v>21677.335564799996</x:v>
      </x:c>
      <x:c r="K11" s="20" t="n">
        <x:f>K8*'05_Assumptions'!K23</x:f>
        <x:v>25362.482610815998</x:v>
      </x:c>
      <x:c r="L11" s="20" t="n">
        <x:f>L8*'05_Assumptions'!L23</x:f>
        <x:v>29420.47982854655</x:v>
      </x:c>
    </x:row>
    <x:row r="12" ht="19" customHeight="1">
      <x:c r="A12" s="34" t="str">
        <x:v>Total assets</x:v>
      </x:c>
      <x:c r="B12" s="34"/>
      <x:c r="C12" s="82" t="n">
        <x:f>SUM(C8:C11)</x:f>
        <x:v>82363.35000000002</x:v>
      </x:c>
      <x:c r="D12" s="82" t="n">
        <x:f>SUM(D8:D11)</x:f>
        <x:v>113515.51</x:v>
      </x:c>
      <x:c r="E12" s="82" t="n">
        <x:f>SUM(E8:E11)</x:f>
        <x:v>156450.77</x:v>
      </x:c>
      <x:c r="F12" s="82" t="n">
        <x:f>SUM(F8:F11)</x:f>
        <x:v>201647.59000000003</x:v>
      </x:c>
      <x:c r="G12" s="82" t="n">
        <x:f>SUM(G8:G11)</x:f>
        <x:v>245069.84999999998</x:v>
      </x:c>
      <x:c r="H12" s="82" t="n">
        <x:f>SUM(H8:H11)</x:f>
        <x:v>298985.21699999995</x:v>
      </x:c>
      <x:c r="I12" s="82" t="n">
        <x:f>SUM(I8:I11)</x:f>
        <x:v>358782.2603999999</x:v>
      </x:c>
      <x:c r="J12" s="82" t="n">
        <x:f>SUM(J8:J11)</x:f>
        <x:v>423363.0672719999</x:v>
      </x:c>
      <x:c r="K12" s="82" t="n">
        <x:f>SUM(K8:K11)</x:f>
        <x:v>495334.7887082399</x:v>
      </x:c>
      <x:c r="L12" s="82" t="n">
        <x:f>SUM(L8:L11)</x:f>
        <x:v>574588.3549015581</x:v>
      </x:c>
    </x:row>
    <x:row r="13" ht="8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 ht="8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</x:row>
    <x:row r="15" ht="19" customHeight="1">
      <x:c r="A15" s="33" t="str">
        <x:v>Liabilities and equity</x:v>
      </x:c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</x:row>
    <x:row r="16" ht="19" customHeight="1">
      <x:c r="A16" s="21" t="str">
        <x:v>Debt securities</x:v>
      </x:c>
      <x:c r="B16" s="21"/>
      <x:c r="C16" s="20" t="n">
        <x:f>'02_Raw_Financials'!C26</x:f>
        <x:v>13321.1</x:v>
      </x:c>
      <x:c r="D16" s="20" t="n">
        <x:f>'02_Raw_Financials'!D26</x:f>
        <x:v>19682.41</x:v>
      </x:c>
      <x:c r="E16" s="20" t="n">
        <x:f>'02_Raw_Financials'!E26</x:f>
        <x:v>24812.76</x:v>
      </x:c>
      <x:c r="F16" s="20" t="n">
        <x:f>'02_Raw_Financials'!F26</x:f>
        <x:v>30133.99</x:v>
      </x:c>
      <x:c r="G16" s="20" t="n">
        <x:f>'02_Raw_Financials'!G26</x:f>
        <x:v>40636.05</x:v>
      </x:c>
      <x:c r="H16" s="20" t="n">
        <x:f>'06_Schedules'!H35*'02_Raw_Financials'!G26/SUM('02_Raw_Financials'!G26:'02_Raw_Financials'!G28)</x:f>
        <x:v>49502.44590535898</x:v>
      </x:c>
      <x:c r="I16" s="20" t="n">
        <x:f>'06_Schedules'!I35*'02_Raw_Financials'!G26/SUM('02_Raw_Financials'!G26:'02_Raw_Financials'!G28)</x:f>
        <x:v>59346.724092253906</x:v>
      </x:c>
      <x:c r="J16" s="20" t="n">
        <x:f>'06_Schedules'!J35*'02_Raw_Financials'!G26/SUM('02_Raw_Financials'!G26:'02_Raw_Financials'!G28)</x:f>
        <x:v>69814.84804401122</x:v>
      </x:c>
      <x:c r="K16" s="20" t="n">
        <x:f>'06_Schedules'!K35*'02_Raw_Financials'!G26/SUM('02_Raw_Financials'!G26:'02_Raw_Financials'!G28)</x:f>
        <x:v>81373.67848230002</x:v>
      </x:c>
      <x:c r="L16" s="20" t="n">
        <x:f>'06_Schedules'!L35*'02_Raw_Financials'!G26/SUM('02_Raw_Financials'!G26:'02_Raw_Financials'!G28)</x:f>
        <x:v>93969.0497800997</x:v>
      </x:c>
    </x:row>
    <x:row r="17" ht="19" customHeight="1">
      <x:c r="A17" s="21" t="str">
        <x:v>Other borrowings</x:v>
      </x:c>
      <x:c r="B17" s="21"/>
      <x:c r="C17" s="20" t="n">
        <x:f>'02_Raw_Financials'!C27</x:f>
        <x:v>52004.52</x:v>
      </x:c>
      <x:c r="D17" s="20" t="n">
        <x:f>'02_Raw_Financials'!D27</x:f>
        <x:v>73186.19</x:v>
      </x:c>
      <x:c r="E17" s="20" t="n">
        <x:f>'02_Raw_Financials'!E27</x:f>
        <x:v>104511.13</x:v>
      </x:c>
      <x:c r="F17" s="20" t="n">
        <x:f>'02_Raw_Financials'!F27</x:f>
        <x:v>133791.98</x:v>
      </x:c>
      <x:c r="G17" s="20" t="n">
        <x:f>'02_Raw_Financials'!G27</x:f>
        <x:v>156528.78</x:v>
      </x:c>
      <x:c r="H17" s="20" t="n">
        <x:f>'06_Schedules'!H35-H16-H18</x:f>
        <x:v>190681.85674005808</x:v>
      </x:c>
      <x:c r="I17" s="20" t="n">
        <x:f>'06_Schedules'!I35-I16-I18</x:f>
        <x:v>228601.7051154606</x:v>
      </x:c>
      <x:c r="J17" s="20" t="n">
        <x:f>'06_Schedules'!J35-J16-J18</x:f>
        <x:v>268924.5876558982</x:v>
      </x:c>
      <x:c r="K17" s="20" t="n">
        <x:f>'06_Schedules'!K35-K16-K18</x:f>
        <x:v>313448.83710268774</x:v>
      </x:c>
      <x:c r="L17" s="20" t="n">
        <x:f>'06_Schedules'!L35-L16-L18</x:f>
        <x:v>361965.8091728471</x:v>
      </x:c>
    </x:row>
    <x:row r="18" ht="19" customHeight="1">
      <x:c r="A18" s="21" t="str">
        <x:v>Subordinated liabilities</x:v>
      </x:c>
      <x:c r="B18" s="21"/>
      <x:c r="C18" s="20" t="n">
        <x:f>'02_Raw_Financials'!C28</x:f>
        <x:v>3847.88</x:v>
      </x:c>
      <x:c r="D18" s="20" t="n">
        <x:f>'02_Raw_Financials'!D28</x:f>
        <x:v>4487.46</x:v>
      </x:c>
      <x:c r="E18" s="20" t="n">
        <x:f>'02_Raw_Financials'!E28</x:f>
        <x:v>5149.69</x:v>
      </x:c>
      <x:c r="F18" s="20" t="n">
        <x:f>'02_Raw_Financials'!F28</x:f>
        <x:v>11020.14</x:v>
      </x:c>
      <x:c r="G18" s="20" t="n">
        <x:f>'02_Raw_Financials'!G28</x:f>
        <x:v>13701.73</x:v>
      </x:c>
      <x:c r="H18" s="20" t="n">
        <x:f>'06_Schedules'!H35*'02_Raw_Financials'!G28/SUM('02_Raw_Financials'!G26:'02_Raw_Financials'!G28)</x:f>
        <x:v>16691.315916159034</x:v>
      </x:c>
      <x:c r="I18" s="20" t="n">
        <x:f>'06_Schedules'!I35*'02_Raw_Financials'!G28/SUM('02_Raw_Financials'!G26:'02_Raw_Financials'!G28)</x:f>
        <x:v>20010.625784163516</x:v>
      </x:c>
      <x:c r="J18" s="20" t="n">
        <x:f>'06_Schedules'!J35*'02_Raw_Financials'!G28/SUM('02_Raw_Financials'!G26:'02_Raw_Financials'!G28)</x:f>
        <x:v>23540.284990545824</x:v>
      </x:c>
      <x:c r="K18" s="20" t="n">
        <x:f>'06_Schedules'!K35*'02_Raw_Financials'!G28/SUM('02_Raw_Financials'!G26:'02_Raw_Financials'!G28)</x:f>
        <x:v>27437.710399295316</x:v>
      </x:c>
      <x:c r="L18" s="20" t="n">
        <x:f>'06_Schedules'!L35*'02_Raw_Financials'!G28/SUM('02_Raw_Financials'!G26:'02_Raw_Financials'!G28)</x:f>
        <x:v>31684.638355437724</x:v>
      </x:c>
    </x:row>
    <x:row r="19" ht="19" customHeight="1">
      <x:c r="A19" s="21" t="str">
        <x:v>Other liabilities</x:v>
      </x:c>
      <x:c r="B19" s="21"/>
      <x:c r="C19" s="21" t="n">
        <x:f>'02_Raw_Financials'!C30-C16-C17-C18-C20-C21</x:f>
        <x:v>1482.170000000002</x:v>
      </x:c>
      <x:c r="D19" s="21" t="n">
        <x:f>'02_Raw_Financials'!D30-D16-D17-D18-D20-D21</x:f>
        <x:v>1863.3999999999905</x:v>
      </x:c>
      <x:c r="E19" s="21" t="n">
        <x:f>'02_Raw_Financials'!E30-E16-E17-E18-E20-E21</x:f>
        <x:v>2420.6799999999785</x:v>
      </x:c>
      <x:c r="F19" s="21" t="n">
        <x:f>'02_Raw_Financials'!F30-F16-F17-F18-F20-F21</x:f>
        <x:v>3074.0799999999945</x:v>
      </x:c>
      <x:c r="G19" s="21" t="n">
        <x:f>'02_Raw_Financials'!G30-G16-G17-G18-G20-G21</x:f>
        <x:v>3799.2699999999895</x:v>
      </x:c>
      <x:c r="H19" s="20" t="n">
        <x:f>H8*'05_Assumptions'!H24</x:f>
        <x:v>4635.109399999987</x:v>
      </x:c>
      <x:c r="I19" s="20" t="n">
        <x:f>I8*'05_Assumptions'!I24</x:f>
        <x:v>5562.131279999983</x:v>
      </x:c>
      <x:c r="J19" s="20" t="n">
        <x:f>J8*'05_Assumptions'!J24</x:f>
        <x:v>6563.314910399981</x:v>
      </x:c>
      <x:c r="K19" s="20" t="n">
        <x:f>K8*'05_Assumptions'!K24</x:f>
        <x:v>7679.078445167977</x:v>
      </x:c>
      <x:c r="L19" s="20" t="n">
        <x:f>L8*'05_Assumptions'!L24</x:f>
        <x:v>8907.730996394854</x:v>
      </x:c>
    </x:row>
    <x:row r="20" ht="19" customHeight="1">
      <x:c r="A20" s="21" t="str">
        <x:v>Equity share capital</x:v>
      </x:c>
      <x:c r="B20" s="21"/>
      <x:c r="C20" s="20" t="n">
        <x:f>'02_Raw_Financials'!C51</x:f>
        <x:v>164.28</x:v>
      </x:c>
      <x:c r="D20" s="20" t="n">
        <x:f>'02_Raw_Financials'!D51</x:f>
        <x:v>164.48</x:v>
      </x:c>
      <x:c r="E20" s="20" t="n">
        <x:f>'02_Raw_Financials'!E51</x:f>
        <x:v>168.06</x:v>
      </x:c>
      <x:c r="F20" s="20" t="n">
        <x:f>'02_Raw_Financials'!F51</x:f>
        <x:v>168.25</x:v>
      </x:c>
      <x:c r="G20" s="20" t="n">
        <x:f>'02_Raw_Financials'!G51</x:f>
        <x:v>170.48</x:v>
      </x:c>
      <x:c r="H20" s="20" t="n">
        <x:f>G20+'06_Schedules'!H39/'05_Assumptions'!C44*'02_Raw_Financials'!G59+'06_Schedules'!H38/'05_Assumptions'!C41*'02_Raw_Financials'!G59</x:f>
        <x:v>171.58479362060598</x:v>
      </x:c>
      <x:c r="I20" s="20" t="n">
        <x:f>H20+'06_Schedules'!I39/'05_Assumptions'!C44*'02_Raw_Financials'!G59+'06_Schedules'!I38/'05_Assumptions'!C41*'02_Raw_Financials'!G59</x:f>
        <x:v>171.58479362060598</x:v>
      </x:c>
      <x:c r="J20" s="20" t="n">
        <x:f>I20+'06_Schedules'!J39/'05_Assumptions'!C44*'02_Raw_Financials'!G59+'06_Schedules'!J38/'05_Assumptions'!C41*'02_Raw_Financials'!G59</x:f>
        <x:v>171.58479362060598</x:v>
      </x:c>
      <x:c r="K20" s="20" t="n">
        <x:f>J20+'06_Schedules'!K39/'05_Assumptions'!C44*'02_Raw_Financials'!G59+'06_Schedules'!K38/'05_Assumptions'!C41*'02_Raw_Financials'!G59</x:f>
        <x:v>171.58479362060598</x:v>
      </x:c>
      <x:c r="L20" s="20" t="n">
        <x:f>K20+'06_Schedules'!L39/'05_Assumptions'!C44*'02_Raw_Financials'!G59+'06_Schedules'!L38/'05_Assumptions'!C41*'02_Raw_Financials'!G59</x:f>
        <x:v>171.58479362060598</x:v>
      </x:c>
    </x:row>
    <x:row r="21" ht="19" customHeight="1">
      <x:c r="A21" s="21" t="str">
        <x:v>Other equity</x:v>
      </x:c>
      <x:c r="B21" s="21"/>
      <x:c r="C21" s="20" t="n">
        <x:f>'02_Raw_Financials'!C29-C20</x:f>
        <x:v>11543.4</x:v>
      </x:c>
      <x:c r="D21" s="20" t="n">
        <x:f>'02_Raw_Financials'!D29-D20</x:f>
        <x:v>14131.57</x:v>
      </x:c>
      <x:c r="E21" s="20" t="n">
        <x:f>'02_Raw_Financials'!E29-E20</x:f>
        <x:v>19388.449999999997</x:v>
      </x:c>
      <x:c r="F21" s="20" t="n">
        <x:f>'02_Raw_Financials'!F29-F20</x:f>
        <x:v>23459.15</x:v>
      </x:c>
      <x:c r="G21" s="20" t="n">
        <x:f>'02_Raw_Financials'!G29-G20</x:f>
        <x:v>30233.54</x:v>
      </x:c>
      <x:c r="H21" s="20" t="n">
        <x:f>'06_Schedules'!H33-H20</x:f>
        <x:v>37302.90424480328</x:v>
      </x:c>
      <x:c r="I21" s="20" t="n">
        <x:f>'06_Schedules'!I33-I20</x:f>
        <x:v>45089.48933450133</x:v>
      </x:c>
      <x:c r="J21" s="20" t="n">
        <x:f>'06_Schedules'!J33-J20</x:f>
        <x:v>54348.446877524126</x:v>
      </x:c>
      <x:c r="K21" s="20" t="n">
        <x:f>'06_Schedules'!K33-K20</x:f>
        <x:v>65223.89948516822</x:v>
      </x:c>
      <x:c r="L21" s="20" t="n">
        <x:f>'06_Schedules'!L33-L20</x:f>
        <x:v>77889.54180315816</x:v>
      </x:c>
    </x:row>
    <x:row r="22" ht="19" customHeight="1">
      <x:c r="A22" s="34" t="str">
        <x:v>Total liabilities and equity</x:v>
      </x:c>
      <x:c r="B22" s="34"/>
      <x:c r="C22" s="82" t="n">
        <x:f>SUM(C16:C21)</x:f>
        <x:v>82363.34999999999</x:v>
      </x:c>
      <x:c r="D22" s="82" t="n">
        <x:f>SUM(D16:D21)</x:f>
        <x:v>113515.51000000001</x:v>
      </x:c>
      <x:c r="E22" s="82" t="n">
        <x:f>SUM(E16:E21)</x:f>
        <x:v>156450.76999999996</x:v>
      </x:c>
      <x:c r="F22" s="82" t="n">
        <x:f>SUM(F16:F21)</x:f>
        <x:v>201647.58999999997</x:v>
      </x:c>
      <x:c r="G22" s="82" t="n">
        <x:f>SUM(G16:G21)</x:f>
        <x:v>245069.85000000003</x:v>
      </x:c>
      <x:c r="H22" s="82" t="n">
        <x:f>SUM(H16:H21)</x:f>
        <x:v>298985.21699999995</x:v>
      </x:c>
      <x:c r="I22" s="82" t="n">
        <x:f>SUM(I16:I21)</x:f>
        <x:v>358782.26039999997</x:v>
      </x:c>
      <x:c r="J22" s="82" t="n">
        <x:f>SUM(J16:J21)</x:f>
        <x:v>423363.06727199996</x:v>
      </x:c>
      <x:c r="K22" s="82" t="n">
        <x:f>SUM(K16:K21)</x:f>
        <x:v>495334.7887082399</x:v>
      </x:c>
      <x:c r="L22" s="82" t="n">
        <x:f>SUM(L16:L21)</x:f>
        <x:v>574588.3549015581</x:v>
      </x:c>
    </x:row>
    <x:row r="23" ht="19" customHeight="1">
      <x:c r="A23" s="21" t="str">
        <x:v>Balance check</x:v>
      </x:c>
      <x:c r="B23" s="21"/>
      <x:c r="C23" s="80" t="n">
        <x:f>ROUND(C12-C22,2)</x:f>
        <x:v>0</x:v>
      </x:c>
      <x:c r="D23" s="80" t="n">
        <x:f>ROUND(D12-D22,2)</x:f>
        <x:v>0</x:v>
      </x:c>
      <x:c r="E23" s="80" t="n">
        <x:f>ROUND(E12-E22,2)</x:f>
        <x:v>0</x:v>
      </x:c>
      <x:c r="F23" s="80" t="n">
        <x:f>ROUND(F12-F22,2)</x:f>
        <x:v>0</x:v>
      </x:c>
      <x:c r="G23" s="80" t="n">
        <x:f>ROUND(G12-G22,2)</x:f>
        <x:v>0</x:v>
      </x:c>
      <x:c r="H23" s="80" t="n">
        <x:f>ROUND(H12-H22,2)</x:f>
        <x:v>0</x:v>
      </x:c>
      <x:c r="I23" s="80" t="n">
        <x:f>ROUND(I12-I22,2)</x:f>
        <x:v>0</x:v>
      </x:c>
      <x:c r="J23" s="80" t="n">
        <x:f>ROUND(J12-J22,2)</x:f>
        <x:v>0</x:v>
      </x:c>
      <x:c r="K23" s="80" t="n">
        <x:f>ROUND(K12-K22,2)</x:f>
        <x:v>0</x:v>
      </x:c>
      <x:c r="L23" s="80" t="n">
        <x:f>ROUND(L12-L22,2)</x:f>
        <x:v>0</x:v>
      </x:c>
    </x:row>
    <x:row r="24" ht="8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 ht="8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 ht="19" customHeight="1">
      <x:c r="A26" s="91" t="str">
        <x:v>Other assets and liabilities follow FY2026 ratios. Borrowings are the financing residual.</x:v>
      </x:c>
      <x:c r="B26" s="91"/>
      <x:c r="C26" s="91"/>
      <x:c r="D26" s="91"/>
      <x:c r="E26" s="91"/>
      <x:c r="F26" s="91"/>
      <x:c r="G26" s="91"/>
      <x:c r="H26" s="91"/>
      <x:c r="I26" s="91"/>
      <x:c r="J26" s="91"/>
      <x:c r="K26" s="91"/>
      <x:c r="L26" s="91"/>
    </x:row>
    <x:row r="27" ht="19" customHeight="1">
      <x:c r="A27" s="91" t="str">
        <x:v>Share capital and reserves are shown separately.</x:v>
      </x:c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</x:row>
    <x:row r="28" ht="8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 ht="8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 ht="8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 ht="8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 ht="8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 ht="8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 ht="8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 ht="8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 ht="8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 ht="8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 ht="8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 ht="8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 ht="8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 ht="8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 ht="8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 ht="8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 ht="8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 ht="8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 ht="8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 ht="8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 ht="8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 ht="8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 ht="8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 ht="8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 ht="8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 ht="8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 ht="8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 ht="8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 ht="8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 ht="8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 ht="8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 ht="8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 ht="8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 ht="8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 ht="8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 ht="8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 ht="8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 ht="8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7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7" customHeight="1">
      <x:c r="A1" s="94" t="str">
        <x:v>Cash Flow Statement</x:v>
      </x:c>
      <x:c r="B1" s="94"/>
      <x:c r="C1" s="95"/>
      <x:c r="D1" s="95"/>
      <x:c r="E1" s="95"/>
      <x:c r="F1" s="95"/>
      <x:c r="G1" s="95"/>
      <x:c r="H1" s="95"/>
      <x:c r="I1" s="95"/>
      <x:c r="J1" s="95"/>
      <x:c r="K1" s="95"/>
      <x:c r="L1" s="95"/>
    </x:row>
    <x:row r="2" ht="8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9" customHeight="1">
      <x:c r="A3" s="21" t="str">
        <x:v>Standalone | INR crore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8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19" customHeight="1">
      <x:c r="A5" s="32" t="str">
        <x:v>Metric</x:v>
      </x:c>
      <x:c r="B5" s="32" t="str"/>
      <x:c r="C5" s="32" t="str">
        <x:v>FY2022A</x:v>
      </x:c>
      <x:c r="D5" s="32" t="str">
        <x:v>FY2023A</x:v>
      </x:c>
      <x:c r="E5" s="32" t="str">
        <x:v>FY2024A</x:v>
      </x:c>
      <x:c r="F5" s="32" t="str">
        <x:v>FY2025A</x:v>
      </x:c>
      <x:c r="G5" s="32" t="str">
        <x:v>FY2026A</x:v>
      </x:c>
      <x:c r="H5" s="32" t="str">
        <x:v>FY2027E</x:v>
      </x:c>
      <x:c r="I5" s="32" t="str">
        <x:v>FY2028E</x:v>
      </x:c>
      <x:c r="J5" s="32" t="str">
        <x:v>FY2029E</x:v>
      </x:c>
      <x:c r="K5" s="32" t="str">
        <x:v>FY2030E</x:v>
      </x:c>
      <x:c r="L5" s="32" t="str">
        <x:v>FY2031E</x:v>
      </x:c>
    </x:row>
    <x:row r="6" ht="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 ht="19" customHeight="1">
      <x:c r="A7" s="33" t="str">
        <x:v>Cash flow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</x:row>
    <x:row r="8" ht="19" customHeight="1">
      <x:c r="A8" s="21" t="str">
        <x:v>Cash from operating activities</x:v>
      </x:c>
      <x:c r="B8" s="21"/>
      <x:c r="C8" s="20" t="n">
        <x:f>'02_Raw_Financials'!C44</x:f>
        <x:v>-5607.52</x:v>
      </x:c>
      <x:c r="D8" s="20" t="n">
        <x:f>'02_Raw_Financials'!D44</x:f>
        <x:v>-27036.89</x:v>
      </x:c>
      <x:c r="E8" s="20" t="n">
        <x:f>'02_Raw_Financials'!E44</x:f>
        <x:v>-35767.52</x:v>
      </x:c>
      <x:c r="F8" s="20" t="n">
        <x:f>'02_Raw_Financials'!F44</x:f>
        <x:v>-32404.24</x:v>
      </x:c>
      <x:c r="G8" s="20" t="n">
        <x:f>'02_Raw_Financials'!G44</x:f>
        <x:v>-29920.22</x:v>
      </x:c>
      <x:c r="H8" s="21" t="n">
        <x:f>H25</x:f>
        <x:v>-42790.04730051702</x:v>
      </x:c>
      <x:c r="I8" s="21" t="n">
        <x:f>I25</x:f>
        <x:v>-46758.587662426915</x:v>
      </x:c>
      <x:c r="J8" s="21" t="n">
        <x:f>J25</x:f>
        <x:v>-49575.981141867676</x:v>
      </x:c>
      <x:c r="K8" s="21" t="n">
        <x:f>K25</x:f>
        <x:v>-54644.40655610749</x:v>
      </x:c>
      <x:c r="L8" s="21" t="n">
        <x:f>L25</x:f>
        <x:v>-59423.31177682899</x:v>
      </x:c>
    </x:row>
    <x:row r="9" ht="19" customHeight="1">
      <x:c r="A9" s="21" t="str">
        <x:v>Cash from investing activities</x:v>
      </x:c>
      <x:c r="B9" s="21"/>
      <x:c r="C9" s="20" t="n">
        <x:f>'02_Raw_Financials'!C45</x:f>
        <x:v>1666.68</x:v>
      </x:c>
      <x:c r="D9" s="20" t="n">
        <x:f>'02_Raw_Financials'!D45</x:f>
        <x:v>-2160.12</x:v>
      </x:c>
      <x:c r="E9" s="20" t="n">
        <x:f>'02_Raw_Financials'!E45</x:f>
        <x:v>-2705.47</x:v>
      </x:c>
      <x:c r="F9" s="20" t="n">
        <x:f>'02_Raw_Financials'!F45</x:f>
        <x:v>-2866.57</x:v>
      </x:c>
      <x:c r="G9" s="20" t="n">
        <x:f>'02_Raw_Financials'!G45</x:f>
        <x:v>-2542.8</x:v>
      </x:c>
      <x:c r="H9" s="21" t="n">
        <x:f>H29</x:f>
        <x:v>-1800.4947623331054</x:v>
      </x:c>
      <x:c r="I9" s="21" t="n">
        <x:f>I29</x:f>
        <x:v>-2030.896892838763</x:v>
      </x:c>
      <x:c r="J9" s="21" t="n">
        <x:f>J29</x:f>
        <x:v>-2238.2282107573674</x:v>
      </x:c>
      <x:c r="K9" s="21" t="n">
        <x:f>K29</x:f>
        <x:v>-2523.7889329106943</x:v>
      </x:c>
      <x:c r="L9" s="21" t="n">
        <x:f>L29</x:f>
        <x:v>-2815.5682352394024</x:v>
      </x:c>
    </x:row>
    <x:row r="10" ht="19" customHeight="1">
      <x:c r="A10" s="21" t="str">
        <x:v>Cash from financing activities</x:v>
      </x:c>
      <x:c r="B10" s="21"/>
      <x:c r="C10" s="20" t="n">
        <x:f>'02_Raw_Financials'!C46</x:f>
        <x:v>5150.87</x:v>
      </x:c>
      <x:c r="D10" s="20" t="n">
        <x:f>'02_Raw_Financials'!D46</x:f>
        <x:v>27449.42</x:v>
      </x:c>
      <x:c r="E10" s="20" t="n">
        <x:f>'02_Raw_Financials'!E46</x:f>
        <x:v>38404.67</x:v>
      </x:c>
      <x:c r="F10" s="20" t="n">
        <x:f>'02_Raw_Financials'!F46</x:f>
        <x:v>39707.03</x:v>
      </x:c>
      <x:c r="G10" s="20" t="n">
        <x:f>'02_Raw_Financials'!G46</x:f>
        <x:v>35497.23</x:v>
      </x:c>
      <x:c r="H10" s="21" t="n">
        <x:f>H35</x:f>
        <x:v>46419.27006285015</x:v>
      </x:c>
      <x:c r="I10" s="21" t="n">
        <x:f>I35</x:f>
        <x:v>50817.71015526563</x:v>
      </x:c>
      <x:c r="J10" s="21" t="n">
        <x:f>J35</x:f>
        <x:v>54004.69300062507</x:v>
      </x:c>
      <x:c r="K10" s="21" t="n">
        <x:f>K35</x:f>
        <x:v>59609.36782117816</x:v>
      </x:c>
      <x:c r="L10" s="21" t="n">
        <x:f>L35</x:f>
        <x:v>64927.04154489391</x:v>
      </x:c>
    </x:row>
    <x:row r="11" ht="19" customHeight="1">
      <x:c r="A11" s="21" t="str">
        <x:v>Net change in cash</x:v>
      </x:c>
      <x:c r="B11" s="21"/>
      <x:c r="C11" s="21" t="n">
        <x:f>SUM(C8:C10)</x:f>
        <x:v>1210.0299999999997</x:v>
      </x:c>
      <x:c r="D11" s="21" t="n">
        <x:f>SUM(D8:D10)</x:f>
        <x:v>-1747.5900000000001</x:v>
      </x:c>
      <x:c r="E11" s="21" t="n">
        <x:f>SUM(E8:E10)</x:f>
        <x:v>-68.31999999999971</x:v>
      </x:c>
      <x:c r="F11" s="21" t="n">
        <x:f>SUM(F8:F10)</x:f>
        <x:v>4436.219999999994</x:v>
      </x:c>
      <x:c r="G11" s="21" t="n">
        <x:f>SUM(G8:G10)</x:f>
        <x:v>3034.2100000000028</x:v>
      </x:c>
      <x:c r="H11" s="21" t="n">
        <x:f>SUM(H8:H10)</x:f>
        <x:v>1828.7280000000246</x:v>
      </x:c>
      <x:c r="I11" s="21" t="n">
        <x:f>SUM(I8:I10)</x:f>
        <x:v>2028.2255999999543</x:v>
      </x:c>
      <x:c r="J11" s="21" t="n">
        <x:f>SUM(J8:J10)</x:f>
        <x:v>2190.483648000023</x:v>
      </x:c>
      <x:c r="K11" s="21" t="n">
        <x:f>SUM(K8:K10)</x:f>
        <x:v>2441.1723321599784</x:v>
      </x:c>
      <x:c r="L11" s="21" t="n">
        <x:f>SUM(L8:L10)</x:f>
        <x:v>2688.161532825521</x:v>
      </x:c>
    </x:row>
    <x:row r="12" ht="19" customHeight="1">
      <x:c r="A12" s="21" t="str">
        <x:v>Opening cash</x:v>
      </x:c>
      <x:c r="B12" s="21"/>
      <x:c r="C12" s="20" t="n">
        <x:f>'02_Raw_Financials'!C52</x:f>
        <x:v>1447.85</x:v>
      </x:c>
      <x:c r="D12" s="20" t="n">
        <x:f>'02_Raw_Financials'!D52</x:f>
        <x:v>2657.88</x:v>
      </x:c>
      <x:c r="E12" s="20" t="n">
        <x:f>'02_Raw_Financials'!E52</x:f>
        <x:v>910.29</x:v>
      </x:c>
      <x:c r="F12" s="20" t="n">
        <x:f>'02_Raw_Financials'!F52</x:f>
        <x:v>841.97</x:v>
      </x:c>
      <x:c r="G12" s="20" t="n">
        <x:f>'02_Raw_Financials'!G52</x:f>
        <x:v>5278.19</x:v>
      </x:c>
      <x:c r="H12" s="20" t="n">
        <x:f>'08_Balance_Sheet'!G9</x:f>
        <x:v>8312.4</x:v>
      </x:c>
      <x:c r="I12" s="20" t="n">
        <x:f>'08_Balance_Sheet'!H9</x:f>
        <x:v>10141.127999999997</x:v>
      </x:c>
      <x:c r="J12" s="20" t="n">
        <x:f>'08_Balance_Sheet'!I9</x:f>
        <x:v>12169.353599999995</x:v>
      </x:c>
      <x:c r="K12" s="20" t="n">
        <x:f>'08_Balance_Sheet'!J9</x:f>
        <x:v>14359.837247999996</x:v>
      </x:c>
      <x:c r="L12" s="20" t="n">
        <x:f>'08_Balance_Sheet'!K9</x:f>
        <x:v>16801.009580159993</x:v>
      </x:c>
    </x:row>
    <x:row r="13" ht="19" customHeight="1">
      <x:c r="A13" s="34" t="str">
        <x:v>Closing cash</x:v>
      </x:c>
      <x:c r="B13" s="34"/>
      <x:c r="C13" s="35" t="n">
        <x:f>C12+C11</x:f>
        <x:v>2657.8799999999997</x:v>
      </x:c>
      <x:c r="D13" s="35" t="n">
        <x:f>D12+D11</x:f>
        <x:v>910.29</x:v>
      </x:c>
      <x:c r="E13" s="35" t="n">
        <x:f>E12+E11</x:f>
        <x:v>841.9700000000003</x:v>
      </x:c>
      <x:c r="F13" s="35" t="n">
        <x:f>F12+F11</x:f>
        <x:v>5278.189999999994</x:v>
      </x:c>
      <x:c r="G13" s="35" t="n">
        <x:f>G12+G11</x:f>
        <x:v>8312.400000000001</x:v>
      </x:c>
      <x:c r="H13" s="35" t="n">
        <x:f>H12+H11</x:f>
        <x:v>10141.128000000024</x:v>
      </x:c>
      <x:c r="I13" s="35" t="n">
        <x:f>I12+I11</x:f>
        <x:v>12169.353599999951</x:v>
      </x:c>
      <x:c r="J13" s="35" t="n">
        <x:f>J12+J11</x:f>
        <x:v>14359.837248000018</x:v>
      </x:c>
      <x:c r="K13" s="35" t="n">
        <x:f>K12+K11</x:f>
        <x:v>16801.009580159975</x:v>
      </x:c>
      <x:c r="L13" s="35" t="n">
        <x:f>L12+L11</x:f>
        <x:v>19489.171112985514</x:v>
      </x:c>
    </x:row>
    <x:row r="14" ht="19" customHeight="1">
      <x:c r="A14" s="21" t="str">
        <x:v>Cash vs balance sheet</x:v>
      </x:c>
      <x:c r="B14" s="21"/>
      <x:c r="C14" s="81" t="n">
        <x:f>ROUND(C13-'08_Balance_Sheet'!C9,2)</x:f>
        <x:v>0</x:v>
      </x:c>
      <x:c r="D14" s="81" t="n">
        <x:f>ROUND(D13-'08_Balance_Sheet'!D9,2)</x:f>
        <x:v>0</x:v>
      </x:c>
      <x:c r="E14" s="81" t="n">
        <x:f>ROUND(E13-'08_Balance_Sheet'!E9,2)</x:f>
        <x:v>0</x:v>
      </x:c>
      <x:c r="F14" s="81" t="n">
        <x:f>ROUND(F13-'08_Balance_Sheet'!F9,2)</x:f>
        <x:v>0</x:v>
      </x:c>
      <x:c r="G14" s="81" t="n">
        <x:f>ROUND(G13-'08_Balance_Sheet'!G9,2)</x:f>
        <x:v>0</x:v>
      </x:c>
      <x:c r="H14" s="81" t="n">
        <x:f>ROUND(H13-'08_Balance_Sheet'!H9,2)</x:f>
        <x:v>0</x:v>
      </x:c>
      <x:c r="I14" s="81" t="n">
        <x:f>ROUND(I13-'08_Balance_Sheet'!I9,2)</x:f>
        <x:v>0</x:v>
      </x:c>
      <x:c r="J14" s="81" t="n">
        <x:f>ROUND(J13-'08_Balance_Sheet'!J9,2)</x:f>
        <x:v>0</x:v>
      </x:c>
      <x:c r="K14" s="81" t="n">
        <x:f>ROUND(K13-'08_Balance_Sheet'!K9,2)</x:f>
        <x:v>0</x:v>
      </x:c>
      <x:c r="L14" s="81" t="n">
        <x:f>ROUND(L13-'08_Balance_Sheet'!L9,2)</x:f>
        <x:v>0</x:v>
      </x:c>
    </x:row>
    <x:row r="15" ht="8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</x:row>
    <x:row r="16" ht="8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 ht="8" customHeight="1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 ht="19" customHeight="1">
      <x:c r="A18" s="55" t="str">
        <x:v>Forecast cash-flow bridge</x:v>
      </x:c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  <x:c r="L18" s="55"/>
    </x:row>
    <x:row r="19" ht="8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 ht="19" customHeight="1">
      <x:c r="A20" s="45" t="str">
        <x:v>Profit after tax</x:v>
      </x:c>
      <x:c r="B20"/>
      <x:c r="C20" s="68"/>
      <x:c r="D20" s="68"/>
      <x:c r="E20" s="68"/>
      <x:c r="F20" s="68"/>
      <x:c r="G20" s="68"/>
      <x:c r="H20" s="66" t="n">
        <x:f>'07_Income_Statement'!H17</x:f>
        <x:v>6660.257537149821</x:v>
      </x:c>
      <x:c r="I20" s="66" t="n">
        <x:f>'07_Income_Statement'!I17</x:f>
        <x:v>8052.311364734289</x:v>
      </x:c>
      <x:c r="J20" s="66" t="n">
        <x:f>'07_Income_Statement'!J17</x:f>
        <x:v>9574.93024097497</x:v>
      </x:c>
      <x:c r="K20" s="66" t="n">
        <x:f>'07_Income_Statement'!K17</x:f>
        <x:v>11246.590080293796</x:v>
      </x:c>
      <x:c r="L20" s="66" t="n">
        <x:f>'07_Income_Statement'!L17</x:f>
        <x:v>13097.872097197447</x:v>
      </x:c>
    </x:row>
    <x:row r="21" ht="19" customHeight="1">
      <x:c r="A21" s="45" t="str">
        <x:v>Depreciation added back</x:v>
      </x:c>
      <x:c r="B21"/>
      <x:c r="C21" s="68"/>
      <x:c r="D21" s="68"/>
      <x:c r="E21" s="68"/>
      <x:c r="F21" s="68"/>
      <x:c r="G21" s="68"/>
      <x:c r="H21" s="66" t="n">
        <x:f>'06_Schedules'!H23</x:f>
        <x:v>340.12376233310613</x:v>
      </x:c>
      <x:c r="I21" s="66" t="n">
        <x:f>'06_Schedules'!I23</x:f>
        <x:v>411.21269283876427</x:v>
      </x:c>
      <x:c r="J21" s="66" t="n">
        <x:f>'06_Schedules'!J23</x:f>
        <x:v>488.96927475736703</x:v>
      </x:c>
      <x:c r="K21" s="66" t="n">
        <x:f>'06_Schedules'!K23</x:f>
        <x:v>574.3370297906945</x:v>
      </x:c>
      <x:c r="L21" s="66" t="n">
        <x:f>'06_Schedules'!L23</x:f>
        <x:v>668.8776689802041</x:v>
      </x:c>
    </x:row>
    <x:row r="22" ht="19" customHeight="1">
      <x:c r="A22" s="45" t="str">
        <x:v>Increase in net loans</x:v>
      </x:c>
      <x:c r="B22"/>
      <x:c r="C22" s="68"/>
      <x:c r="D22" s="68"/>
      <x:c r="E22" s="68"/>
      <x:c r="F22" s="68"/>
      <x:c r="G22" s="68"/>
      <x:c r="H22" s="66" t="n">
        <x:f>'08_Balance_Sheet'!H8-'08_Balance_Sheet'!G8</x:f>
        <x:v>47865.65519999995</x:v>
      </x:c>
      <x:c r="I22" s="66" t="n">
        <x:f>'08_Balance_Sheet'!I8-'08_Balance_Sheet'!H8</x:f>
        <x:v>53087.36303999997</x:v>
      </x:c>
      <x:c r="J22" s="66" t="n">
        <x:f>'08_Balance_Sheet'!J8-'08_Balance_Sheet'!I8</x:f>
        <x:v>57334.35208320001</x:v>
      </x:c>
      <x:c r="K22" s="66" t="n">
        <x:f>'08_Balance_Sheet'!K8-'08_Balance_Sheet'!J8</x:f>
        <x:v>63895.950154943974</x:v>
      </x:c>
      <x:c r="L22" s="66" t="n">
        <x:f>'08_Balance_Sheet'!L8-'08_Balance_Sheet'!K8</x:f>
        <x:v>70360.71687650296</x:v>
      </x:c>
    </x:row>
    <x:row r="23" ht="19" customHeight="1">
      <x:c r="A23" s="45" t="str">
        <x:v>Increase in other assets</x:v>
      </x:c>
      <x:c r="B23"/>
      <x:c r="C23" s="68"/>
      <x:c r="D23" s="68"/>
      <x:c r="E23" s="68"/>
      <x:c r="F23" s="68"/>
      <x:c r="G23" s="68"/>
      <x:c r="H23" s="66" t="n">
        <x:f>'08_Balance_Sheet'!H11-'08_Balance_Sheet'!G11</x:f>
        <x:v>2760.612799999997</x:v>
      </x:c>
      <x:c r="I23" s="66" t="n">
        <x:f>'08_Balance_Sheet'!I11-'08_Balance_Sheet'!H11</x:f>
        <x:v>3061.770559999999</x:v>
      </x:c>
      <x:c r="J23" s="66" t="n">
        <x:f>'08_Balance_Sheet'!J11-'08_Balance_Sheet'!I11</x:f>
        <x:v>3306.7122047999983</x:v>
      </x:c>
      <x:c r="K23" s="66" t="n">
        <x:f>'08_Balance_Sheet'!K11-'08_Balance_Sheet'!J11</x:f>
        <x:v>3685.1470460160017</x:v>
      </x:c>
      <x:c r="L23" s="66" t="n">
        <x:f>'08_Balance_Sheet'!L11-'08_Balance_Sheet'!K11</x:f>
        <x:v>4057.9972177305535</x:v>
      </x:c>
    </x:row>
    <x:row r="24" ht="19" customHeight="1">
      <x:c r="A24" s="45" t="str">
        <x:v>Increase in other liabilities</x:v>
      </x:c>
      <x:c r="B24"/>
      <x:c r="C24" s="68"/>
      <x:c r="D24" s="68"/>
      <x:c r="E24" s="68"/>
      <x:c r="F24" s="68"/>
      <x:c r="G24" s="68"/>
      <x:c r="H24" s="66" t="n">
        <x:f>'08_Balance_Sheet'!H19-'08_Balance_Sheet'!G19</x:f>
        <x:v>835.8393999999971</x:v>
      </x:c>
      <x:c r="I24" s="66" t="n">
        <x:f>'08_Balance_Sheet'!I19-'08_Balance_Sheet'!H19</x:f>
        <x:v>927.0218799999966</x:v>
      </x:c>
      <x:c r="J24" s="66" t="n">
        <x:f>'08_Balance_Sheet'!J19-'08_Balance_Sheet'!I19</x:f>
        <x:v>1001.183630399998</x:v>
      </x:c>
      <x:c r="K24" s="66" t="n">
        <x:f>'08_Balance_Sheet'!K19-'08_Balance_Sheet'!J19</x:f>
        <x:v>1115.7635347679961</x:v>
      </x:c>
      <x:c r="L24" s="66" t="n">
        <x:f>'08_Balance_Sheet'!L19-'08_Balance_Sheet'!K19</x:f>
        <x:v>1228.6525512268763</x:v>
      </x:c>
    </x:row>
    <x:row r="25" ht="19" customHeight="1">
      <x:c r="A25" s="56" t="str">
        <x:v>Cash from operations</x:v>
      </x:c>
      <x:c r="B25" s="57"/>
      <x:c r="C25" s="75"/>
      <x:c r="D25" s="75"/>
      <x:c r="E25" s="75"/>
      <x:c r="F25" s="75"/>
      <x:c r="G25" s="75"/>
      <x:c r="H25" s="76" t="n">
        <x:f>H20+H21-H22-H23+H24</x:f>
        <x:v>-42790.04730051702</x:v>
      </x:c>
      <x:c r="I25" s="76" t="n">
        <x:f>I20+I21-I22-I23+I24</x:f>
        <x:v>-46758.587662426915</x:v>
      </x:c>
      <x:c r="J25" s="76" t="n">
        <x:f>J20+J21-J22-J23+J24</x:f>
        <x:v>-49575.981141867676</x:v>
      </x:c>
      <x:c r="K25" s="76" t="n">
        <x:f>K20+K21-K22-K23+K24</x:f>
        <x:v>-54644.40655610749</x:v>
      </x:c>
      <x:c r="L25" s="76" t="n">
        <x:f>L20+L21-L22-L23+L24</x:f>
        <x:v>-59423.31177682899</x:v>
      </x:c>
    </x:row>
    <x:row r="26" ht="8" customHeight="1">
      <x:c r="A26"/>
      <x:c r="B26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</x:row>
    <x:row r="27" ht="19" customHeight="1">
      <x:c r="A27" s="45" t="str">
        <x:v>Increase in investments</x:v>
      </x:c>
      <x:c r="B27"/>
      <x:c r="C27" s="68"/>
      <x:c r="D27" s="68"/>
      <x:c r="E27" s="68"/>
      <x:c r="F27" s="68"/>
      <x:c r="G27" s="68"/>
      <x:c r="H27" s="66" t="n">
        <x:f>'08_Balance_Sheet'!H10-'08_Balance_Sheet'!G10</x:f>
        <x:v>1460.3709999999992</x:v>
      </x:c>
      <x:c r="I27" s="66" t="n">
        <x:f>'08_Balance_Sheet'!I10-'08_Balance_Sheet'!H10</x:f>
        <x:v>1619.6841999999988</x:v>
      </x:c>
      <x:c r="J27" s="66" t="n">
        <x:f>'08_Balance_Sheet'!J10-'08_Balance_Sheet'!I10</x:f>
        <x:v>1749.2589360000002</x:v>
      </x:c>
      <x:c r="K27" s="66" t="n">
        <x:f>'08_Balance_Sheet'!K10-'08_Balance_Sheet'!J10</x:f>
        <x:v>1949.4519031199998</x:v>
      </x:c>
      <x:c r="L27" s="66" t="n">
        <x:f>'08_Balance_Sheet'!L10-'08_Balance_Sheet'!K10</x:f>
        <x:v>2146.690566259198</x:v>
      </x:c>
    </x:row>
    <x:row r="28" ht="19" customHeight="1">
      <x:c r="A28" s="45" t="str">
        <x:v>Maintenance investment (= D&amp;A)</x:v>
      </x:c>
      <x:c r="B28"/>
      <x:c r="C28" s="68"/>
      <x:c r="D28" s="68"/>
      <x:c r="E28" s="68"/>
      <x:c r="F28" s="68"/>
      <x:c r="G28" s="68"/>
      <x:c r="H28" s="67" t="n">
        <x:f>H21</x:f>
        <x:v>340.12376233310613</x:v>
      </x:c>
      <x:c r="I28" s="67" t="n">
        <x:f>I21</x:f>
        <x:v>411.21269283876427</x:v>
      </x:c>
      <x:c r="J28" s="67" t="n">
        <x:f>J21</x:f>
        <x:v>488.96927475736703</x:v>
      </x:c>
      <x:c r="K28" s="67" t="n">
        <x:f>K21</x:f>
        <x:v>574.3370297906945</x:v>
      </x:c>
      <x:c r="L28" s="67" t="n">
        <x:f>L21</x:f>
        <x:v>668.8776689802041</x:v>
      </x:c>
    </x:row>
    <x:row r="29" ht="19" customHeight="1">
      <x:c r="A29" s="56" t="str">
        <x:v>Cash from investing</x:v>
      </x:c>
      <x:c r="B29" s="57"/>
      <x:c r="C29" s="75"/>
      <x:c r="D29" s="75"/>
      <x:c r="E29" s="75"/>
      <x:c r="F29" s="75"/>
      <x:c r="G29" s="75"/>
      <x:c r="H29" s="76" t="n">
        <x:f>-SUM(H27:H28)</x:f>
        <x:v>-1800.4947623331054</x:v>
      </x:c>
      <x:c r="I29" s="76" t="n">
        <x:f>-SUM(I27:I28)</x:f>
        <x:v>-2030.896892838763</x:v>
      </x:c>
      <x:c r="J29" s="76" t="n">
        <x:f>-SUM(J27:J28)</x:f>
        <x:v>-2238.2282107573674</x:v>
      </x:c>
      <x:c r="K29" s="76" t="n">
        <x:f>-SUM(K27:K28)</x:f>
        <x:v>-2523.7889329106943</x:v>
      </x:c>
      <x:c r="L29" s="76" t="n">
        <x:f>-SUM(L27:L28)</x:f>
        <x:v>-2815.5682352394024</x:v>
      </x:c>
    </x:row>
    <x:row r="30" ht="8" customHeight="1">
      <x:c r="A30"/>
      <x:c r="B30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</x:row>
    <x:row r="31" ht="19" customHeight="1">
      <x:c r="A31" s="45" t="str">
        <x:v>Change in funding debt</x:v>
      </x:c>
      <x:c r="B31"/>
      <x:c r="C31" s="68"/>
      <x:c r="D31" s="68"/>
      <x:c r="E31" s="68"/>
      <x:c r="F31" s="68"/>
      <x:c r="G31" s="68"/>
      <x:c r="H31" s="66" t="n">
        <x:f>'06_Schedules'!H35-'06_Schedules'!G35</x:f>
        <x:v>46009.058561576094</x:v>
      </x:c>
      <x:c r="I31" s="66" t="n">
        <x:f>'06_Schedules'!I35-'06_Schedules'!H35</x:f>
        <x:v>51083.43643030187</x:v>
      </x:c>
      <x:c r="J31" s="66" t="n">
        <x:f>'06_Schedules'!J35-'06_Schedules'!I35</x:f>
        <x:v>54320.66569857724</x:v>
      </x:c>
      <x:c r="K31" s="66" t="n">
        <x:f>'06_Schedules'!K35-'06_Schedules'!J35</x:f>
        <x:v>59980.50529382785</x:v>
      </x:c>
      <x:c r="L31" s="66" t="n">
        <x:f>'06_Schedules'!L35-'06_Schedules'!K35</x:f>
        <x:v>65359.27132410143</x:v>
      </x:c>
    </x:row>
    <x:row r="32" ht="19" customHeight="1">
      <x:c r="A32" s="45" t="str">
        <x:v>Noncash CCD conversion adjustment</x:v>
      </x:c>
      <x:c r="B32"/>
      <x:c r="C32" s="68"/>
      <x:c r="D32" s="68"/>
      <x:c r="E32" s="68"/>
      <x:c r="F32" s="68"/>
      <x:c r="G32" s="68"/>
      <x:c r="H32" s="66" t="n">
        <x:f>'06_Schedules'!H39</x:f>
        <x:v>630</x:v>
      </x:c>
      <x:c r="I32" s="66" t="n">
        <x:f>'06_Schedules'!I39</x:f>
        <x:v>0</x:v>
      </x:c>
      <x:c r="J32" s="66" t="n">
        <x:f>'06_Schedules'!J39</x:f>
        <x:v>0</x:v>
      </x:c>
      <x:c r="K32" s="66" t="n">
        <x:f>'06_Schedules'!K39</x:f>
        <x:v>0</x:v>
      </x:c>
      <x:c r="L32" s="66" t="n">
        <x:f>'06_Schedules'!L39</x:f>
        <x:v>0</x:v>
      </x:c>
    </x:row>
    <x:row r="33" ht="19" customHeight="1">
      <x:c r="A33" s="45" t="str">
        <x:v>New equity funding</x:v>
      </x:c>
      <x:c r="B33"/>
      <x:c r="C33" s="68"/>
      <x:c r="D33" s="68"/>
      <x:c r="E33" s="68"/>
      <x:c r="F33" s="68"/>
      <x:c r="G33" s="68"/>
      <x:c r="H33" s="66" t="n">
        <x:f>'06_Schedules'!H38</x:f>
        <x:v>0</x:v>
      </x:c>
      <x:c r="I33" s="66" t="n">
        <x:f>'06_Schedules'!I38</x:f>
        <x:v>0</x:v>
      </x:c>
      <x:c r="J33" s="66" t="n">
        <x:f>'06_Schedules'!J38</x:f>
        <x:v>0</x:v>
      </x:c>
      <x:c r="K33" s="66" t="n">
        <x:f>'06_Schedules'!K38</x:f>
        <x:v>0</x:v>
      </x:c>
      <x:c r="L33" s="66" t="n">
        <x:f>'06_Schedules'!L38</x:f>
        <x:v>0</x:v>
      </x:c>
    </x:row>
    <x:row r="34" ht="19" customHeight="1">
      <x:c r="A34" s="45" t="str">
        <x:v>Dividends paid</x:v>
      </x:c>
      <x:c r="B34"/>
      <x:c r="C34" s="68"/>
      <x:c r="D34" s="68"/>
      <x:c r="E34" s="68"/>
      <x:c r="F34" s="68"/>
      <x:c r="G34" s="68"/>
      <x:c r="H34" s="66" t="n">
        <x:f>-'06_Schedules'!H32</x:f>
        <x:v>-219.78849872594432</x:v>
      </x:c>
      <x:c r="I34" s="66" t="n">
        <x:f>-'06_Schedules'!I32</x:f>
        <x:v>-265.72627503623164</x:v>
      </x:c>
      <x:c r="J34" s="66" t="n">
        <x:f>-'06_Schedules'!J32</x:f>
        <x:v>-315.97269795217375</x:v>
      </x:c>
      <x:c r="K34" s="66" t="n">
        <x:f>-'06_Schedules'!K32</x:f>
        <x:v>-371.13747264969527</x:v>
      </x:c>
      <x:c r="L34" s="66" t="n">
        <x:f>-'06_Schedules'!L32</x:f>
        <x:v>-432.2297792075161</x:v>
      </x:c>
    </x:row>
    <x:row r="35" ht="19" customHeight="1">
      <x:c r="A35" s="56" t="str">
        <x:v>Cash from financing</x:v>
      </x:c>
      <x:c r="B35" s="57"/>
      <x:c r="C35" s="75"/>
      <x:c r="D35" s="75"/>
      <x:c r="E35" s="75"/>
      <x:c r="F35" s="75"/>
      <x:c r="G35" s="75"/>
      <x:c r="H35" s="76" t="n">
        <x:f>SUM(H31:H34)</x:f>
        <x:v>46419.27006285015</x:v>
      </x:c>
      <x:c r="I35" s="76" t="n">
        <x:f>SUM(I31:I34)</x:f>
        <x:v>50817.71015526563</x:v>
      </x:c>
      <x:c r="J35" s="76" t="n">
        <x:f>SUM(J31:J34)</x:f>
        <x:v>54004.69300062507</x:v>
      </x:c>
      <x:c r="K35" s="76" t="n">
        <x:f>SUM(K31:K34)</x:f>
        <x:v>59609.36782117816</x:v>
      </x:c>
      <x:c r="L35" s="76" t="n">
        <x:f>SUM(L31:L34)</x:f>
        <x:v>64927.04154489391</x:v>
      </x:c>
    </x:row>
    <x:row r="36" ht="8" customHeight="1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 ht="8" customHeight="1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 ht="19" customHeight="1">
      <x:c r="A38" s="91" t="str">
        <x:v>Simplified cash flow uses changes in net loans. Maintenance capital expenditure equals depreciation.</x:v>
      </x:c>
      <x:c r="B38" s="91"/>
      <x:c r="C38" s="91"/>
      <x:c r="D38" s="91"/>
      <x:c r="E38" s="91"/>
      <x:c r="F38" s="91"/>
      <x:c r="G38" s="91"/>
      <x:c r="H38" s="91"/>
      <x:c r="I38" s="91"/>
      <x:c r="J38" s="91"/>
      <x:c r="K38" s="91"/>
      <x:c r="L38" s="91"/>
    </x:row>
    <x:row r="39" ht="19" customHeight="1">
      <x:c r="A39" s="91" t="str">
        <x:v>Funding is aggregated. Impairment is not added back against net loans. CCD conversion is non-cash.</x:v>
      </x:c>
      <x:c r="B39" s="91"/>
      <x:c r="C39" s="91"/>
      <x:c r="D39" s="91"/>
      <x:c r="E39" s="91"/>
      <x:c r="F39" s="91"/>
      <x:c r="G39" s="91"/>
      <x:c r="H39" s="91"/>
      <x:c r="I39" s="91"/>
      <x:c r="J39" s="91"/>
      <x:c r="K39" s="91"/>
      <x:c r="L39" s="91"/>
    </x:row>
    <x:row r="40" ht="8" customHeight="1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 ht="8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 ht="8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 ht="8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 ht="8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 ht="8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 ht="8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 ht="8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 ht="8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 ht="8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 ht="8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 ht="8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 ht="8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 ht="8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 ht="8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 ht="8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 ht="8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 ht="8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 ht="8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 ht="8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 ht="8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 ht="8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 ht="8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 ht="8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 ht="8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 ht="8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7" customHeight="1">
      <x:c r="A1" s="94" t="str">
        <x:v>FCFE Valuation</x:v>
      </x:c>
      <x:c r="B1" s="94"/>
      <x:c r="C1" s="95"/>
      <x:c r="D1" s="95"/>
      <x:c r="E1" s="95"/>
      <x:c r="F1" s="95"/>
      <x:c r="G1" s="95"/>
      <x:c r="H1" s="95"/>
      <x:c r="I1" s="95"/>
      <x:c r="J1" s="95"/>
      <x:c r="K1" s="95"/>
      <x:c r="L1" s="95"/>
    </x:row>
    <x:row r="2" ht="8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9" customHeight="1">
      <x:c r="A3" s="21" t="str">
        <x:v>Equity valuation for a regulated lender | INR crore except per-share data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8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19" customHeight="1">
      <x:c r="A5" s="33" t="str">
        <x:v>Valuation inputs</x:v>
      </x:c>
      <x:c r="B5" s="33"/>
      <x:c r="C5" s="33"/>
      <x:c r="D5" s="33"/>
      <x:c r="E5" s="33"/>
      <x:c r="F5" s="33"/>
      <x:c r="G5" s="33"/>
      <x:c r="H5" s="21"/>
      <x:c r="I5" s="21"/>
      <x:c r="J5" s="21"/>
      <x:c r="K5" s="21"/>
      <x:c r="L5" s="21"/>
    </x:row>
    <x:row r="6" ht="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 ht="19" customHeight="1">
      <x:c r="A7" s="21" t="str">
        <x:v>Cost of equity</x:v>
      </x:c>
      <x:c r="B7" s="21"/>
      <x:c r="C7" s="9" t="n">
        <x:f>'05_Assumptions'!H18</x:f>
        <x:v>0.13</x:v>
      </x:c>
      <x:c r="D7" s="21"/>
      <x:c r="E7" s="21"/>
      <x:c r="F7" s="21"/>
      <x:c r="G7" s="21"/>
      <x:c r="H7" s="21"/>
      <x:c r="I7" s="21"/>
      <x:c r="J7" s="21"/>
      <x:c r="K7" s="21"/>
      <x:c r="L7" s="21"/>
    </x:row>
    <x:row r="8" ht="19" customHeight="1">
      <x:c r="A8" s="21" t="str">
        <x:v>Terminal growth</x:v>
      </x:c>
      <x:c r="B8" s="21"/>
      <x:c r="C8" s="9" t="n">
        <x:f>'05_Assumptions'!L19</x:f>
        <x:v>0.05</x:v>
      </x:c>
      <x:c r="D8" s="21"/>
      <x:c r="E8" s="21"/>
      <x:c r="F8" s="21"/>
      <x:c r="G8" s="21"/>
      <x:c r="H8" s="21"/>
      <x:c r="I8" s="21"/>
      <x:c r="J8" s="21"/>
      <x:c r="K8" s="21"/>
      <x:c r="L8" s="21"/>
    </x:row>
    <x:row r="9" ht="19" customHeight="1">
      <x:c r="A9" s="21" t="str">
        <x:v>Terminal ROE</x:v>
      </x:c>
      <x:c r="B9" s="21"/>
      <x:c r="C9" s="9" t="n">
        <x:f>'05_Assumptions'!L20</x:f>
        <x:v>0.17</x:v>
      </x:c>
      <x:c r="D9" s="21"/>
      <x:c r="E9" s="21"/>
      <x:c r="F9" s="21"/>
      <x:c r="G9" s="21"/>
      <x:c r="H9" s="21"/>
      <x:c r="I9" s="21"/>
      <x:c r="J9" s="21"/>
      <x:c r="K9" s="21"/>
      <x:c r="L9" s="21"/>
    </x:row>
    <x:row r="10" ht="19" customHeight="1">
      <x:c r="A10" s="21" t="str">
        <x:v>Pro forma shares incl. CCD (crore)</x:v>
      </x:c>
      <x:c r="B10" s="21"/>
      <x:c r="C10" s="63" t="n">
        <x:f>'05_Assumptions'!C45</x:f>
        <x:v>85.756113710303</x:v>
      </x:c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 ht="19" customHeight="1">
      <x:c r="A11" s="21" t="str">
        <x:v>Reference share price</x:v>
      </x:c>
      <x:c r="B11" s="21"/>
      <x:c r="C11" s="63" t="n">
        <x:f>'05_Assumptions'!C41</x:f>
        <x:v>1779</x:v>
      </x:c>
      <x:c r="D11" s="21"/>
      <x:c r="E11" s="21"/>
      <x:c r="F11" s="21"/>
      <x:c r="G11" s="21"/>
      <x:c r="H11" s="21"/>
      <x:c r="I11" s="21"/>
      <x:c r="J11" s="21"/>
      <x:c r="K11" s="21"/>
      <x:c r="L11" s="21"/>
    </x:row>
    <x:row r="12" ht="8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</x:row>
    <x:row r="13" ht="8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 ht="19" customHeight="1">
      <x:c r="A14" s="33" t="str">
        <x:v>FCFE calculation</x:v>
      </x:c>
      <x:c r="B14" s="33"/>
      <x:c r="C14" s="33"/>
      <x:c r="D14" s="33"/>
      <x:c r="E14" s="33"/>
      <x:c r="F14" s="33"/>
      <x:c r="G14" s="33"/>
      <x:c r="H14" s="21"/>
      <x:c r="I14" s="21"/>
      <x:c r="J14" s="21"/>
      <x:c r="K14" s="21"/>
      <x:c r="L14" s="21"/>
    </x:row>
    <x:row r="15" ht="19" customHeight="1">
      <x:c r="A15" s="32" t="str">
        <x:v>Metric</x:v>
      </x:c>
      <x:c r="B15" s="32" t="str">
        <x:v>FY2027E</x:v>
      </x:c>
      <x:c r="C15" s="32" t="str">
        <x:v>FY2028E</x:v>
      </x:c>
      <x:c r="D15" s="32" t="str">
        <x:v>FY2029E</x:v>
      </x:c>
      <x:c r="E15" s="32" t="str">
        <x:v>FY2030E</x:v>
      </x:c>
      <x:c r="F15" s="32" t="str">
        <x:v>FY2031E</x:v>
      </x:c>
      <x:c r="G15" s="32" t="str">
        <x:v>Terminal</x:v>
      </x:c>
      <x:c r="H15" s="21"/>
      <x:c r="I15" s="21"/>
      <x:c r="J15" s="21"/>
      <x:c r="K15" s="21"/>
      <x:c r="L15" s="21"/>
    </x:row>
    <x:row r="16" ht="19" customHeight="1">
      <x:c r="A16" s="21" t="str">
        <x:v>Profit after tax</x:v>
      </x:c>
      <x:c r="B16" s="20" t="n">
        <x:f>'07_Income_Statement'!H17</x:f>
        <x:v>6660.257537149821</x:v>
      </x:c>
      <x:c r="C16" s="20" t="n">
        <x:f>'07_Income_Statement'!I17</x:f>
        <x:v>8052.311364734289</x:v>
      </x:c>
      <x:c r="D16" s="20" t="n">
        <x:f>'07_Income_Statement'!J17</x:f>
        <x:v>9574.93024097497</x:v>
      </x:c>
      <x:c r="E16" s="20" t="n">
        <x:f>'07_Income_Statement'!K17</x:f>
        <x:v>11246.590080293796</x:v>
      </x:c>
      <x:c r="F16" s="20" t="n">
        <x:f>'07_Income_Statement'!L17</x:f>
        <x:v>13097.872097197447</x:v>
      </x:c>
      <x:c r="G16" s="20" t="n">
        <x:f>'06_Schedules'!L34*$C$9</x:f>
        <x:v>12140.741697040598</x:v>
      </x:c>
      <x:c r="H16" s="21"/>
      <x:c r="I16" s="21"/>
      <x:c r="J16" s="21"/>
      <x:c r="K16" s="21"/>
      <x:c r="L16" s="21"/>
    </x:row>
    <x:row r="17" ht="19" customHeight="1">
      <x:c r="A17" s="21" t="str">
        <x:v>Incremental required book equity</x:v>
      </x:c>
      <x:c r="B17" s="20" t="n">
        <x:f>'06_Schedules'!H34-'02_Raw_Financials'!G22*'05_Assumptions'!H15</x:f>
        <x:v>6701.191727999991</x:v>
      </x:c>
      <x:c r="C17" s="20" t="n">
        <x:f>'06_Schedules'!I34-'06_Schedules'!H34</x:f>
        <x:v>7432.230825599996</x:v>
      </x:c>
      <x:c r="D17" s="20" t="n">
        <x:f>'06_Schedules'!J34-'06_Schedules'!I34</x:f>
        <x:v>8026.809291648002</x:v>
      </x:c>
      <x:c r="E17" s="20" t="n">
        <x:f>'06_Schedules'!K34-'06_Schedules'!J34</x:f>
        <x:v>8945.433021692159</x:v>
      </x:c>
      <x:c r="F17" s="20" t="n">
        <x:f>'06_Schedules'!L34-'06_Schedules'!K34</x:f>
        <x:v>9850.500362710416</x:v>
      </x:c>
      <x:c r="G17" s="20" t="n">
        <x:f>'06_Schedules'!L34*$C$8</x:f>
        <x:v>3570.8063814825286</x:v>
      </x:c>
      <x:c r="H17" s="21"/>
      <x:c r="I17" s="21"/>
      <x:c r="J17" s="21"/>
      <x:c r="K17" s="21"/>
      <x:c r="L17" s="21"/>
    </x:row>
    <x:row r="18" ht="19" customHeight="1">
      <x:c r="A18" s="21" t="str">
        <x:v>Annual FCFE</x:v>
      </x:c>
      <x:c r="B18" s="21" t="n">
        <x:f>B16-B17</x:f>
        <x:v>-40.934190850170125</x:v>
      </x:c>
      <x:c r="C18" s="21" t="n">
        <x:f>C16-C17</x:f>
        <x:v>620.0805391342928</x:v>
      </x:c>
      <x:c r="D18" s="21" t="n">
        <x:f>D16-D17</x:f>
        <x:v>1548.120949326969</x:v>
      </x:c>
      <x:c r="E18" s="21" t="n">
        <x:f>E16-E17</x:f>
        <x:v>2301.157058601637</x:v>
      </x:c>
      <x:c r="F18" s="21" t="n">
        <x:f>F16-F17</x:f>
        <x:v>3247.371734487031</x:v>
      </x:c>
      <x:c r="G18" s="21" t="n">
        <x:f>G16-G17</x:f>
        <x:v>8569.935315558068</x:v>
      </x:c>
      <x:c r="H18" s="21"/>
      <x:c r="I18" s="21"/>
      <x:c r="J18" s="21"/>
      <x:c r="K18" s="21"/>
      <x:c r="L18" s="21"/>
    </x:row>
    <x:row r="19" ht="19" customHeight="1">
      <x:c r="A19" s="21" t="str">
        <x:v>Discount factor</x:v>
      </x:c>
      <x:c r="B19" s="61" t="n">
        <x:f>1/(1+$C$7)^B22</x:f>
        <x:v>0.9371054070379436</x:v>
      </x:c>
      <x:c r="C19" s="61" t="n">
        <x:f>1/(1+$C$7)^C22</x:f>
        <x:v>0.8292968203875609</x:v>
      </x:c>
      <x:c r="D19" s="61" t="n">
        <x:f>1/(1+$C$7)^D22</x:f>
        <x:v>0.7338909914934169</x:v>
      </x:c>
      <x:c r="E19" s="61" t="n">
        <x:f>1/(1+$C$7)^E22</x:f>
        <x:v>0.6494610544189531</x:v>
      </x:c>
      <x:c r="F19" s="61" t="n">
        <x:f>1/(1+$C$7)^F22</x:f>
        <x:v>0.5747442959459762</x:v>
      </x:c>
      <x:c r="G19" s="61" t="n">
        <x:f>F19</x:f>
        <x:v>0.5747442959459762</x:v>
      </x:c>
      <x:c r="H19" s="21"/>
      <x:c r="I19" s="21"/>
      <x:c r="J19" s="21"/>
      <x:c r="K19" s="21"/>
      <x:c r="L19" s="21"/>
    </x:row>
    <x:row r="20" ht="19" customHeight="1">
      <x:c r="A20" s="21" t="str">
        <x:v>PV of FCFE</x:v>
      </x:c>
      <x:c r="B20" s="21" t="n">
        <x:f>B18*B19*B21</x:f>
        <x:v>-20.388417551268503</x:v>
      </x:c>
      <x:c r="C20" s="21" t="n">
        <x:f>C18*C19*C21</x:f>
        <x:v>514.2308194882736</x:v>
      </x:c>
      <x:c r="D20" s="21" t="n">
        <x:f>D18*D19*D21</x:f>
        <x:v>1136.152018453299</x:v>
      </x:c>
      <x:c r="E20" s="21" t="n">
        <x:f>E18*E19*E21</x:f>
        <x:v>1494.5118896630356</x:v>
      </x:c>
      <x:c r="F20" s="21" t="n">
        <x:f>F18*F19*F21</x:f>
        <x:v>1866.4083812126123</x:v>
      </x:c>
      <x:c r="G20" s="21" t="n">
        <x:f>G18*G19</x:f>
        <x:v>4925.52143924298</x:v>
      </x:c>
      <x:c r="H20" s="21"/>
      <x:c r="I20" s="21"/>
      <x:c r="J20" s="21"/>
      <x:c r="K20" s="21"/>
      <x:c r="L20" s="21"/>
    </x:row>
    <x:row r="21" ht="19" customHeight="1">
      <x:c r="A21" s="21" t="str">
        <x:v>Cash-flow year fraction</x:v>
      </x:c>
      <x:c r="B21" s="65" t="n">
        <x:f>'05_Assumptions'!C47</x:f>
        <x:v>0.5315068493150685</x:v>
      </x:c>
      <x:c r="C21" s="61" t="n">
        <x:f>1</x:f>
        <x:v>1</x:v>
      </x:c>
      <x:c r="D21" s="61" t="n">
        <x:f>1</x:f>
        <x:v>1</x:v>
      </x:c>
      <x:c r="E21" s="61" t="n">
        <x:f>1</x:f>
        <x:v>1</x:v>
      </x:c>
      <x:c r="F21" s="61" t="n">
        <x:f>1</x:f>
        <x:v>1</x:v>
      </x:c>
      <x:c r="G21" s="61"/>
      <x:c r="H21" s="21"/>
      <x:c r="I21" s="21"/>
      <x:c r="J21" s="21"/>
      <x:c r="K21" s="21"/>
      <x:c r="L21" s="21"/>
    </x:row>
    <x:row r="22" ht="19" customHeight="1">
      <x:c r="A22" s="21" t="str">
        <x:v>Years from valuation date</x:v>
      </x:c>
      <x:c r="B22" s="65" t="n">
        <x:f>'05_Assumptions'!C47+0</x:f>
        <x:v>0.5315068493150685</x:v>
      </x:c>
      <x:c r="C22" s="65" t="n">
        <x:f>'05_Assumptions'!C47+1</x:f>
        <x:v>1.5315068493150685</x:v>
      </x:c>
      <x:c r="D22" s="65" t="n">
        <x:f>'05_Assumptions'!C47+2</x:f>
        <x:v>2.5315068493150683</x:v>
      </x:c>
      <x:c r="E22" s="65" t="n">
        <x:f>'05_Assumptions'!C47+3</x:f>
        <x:v>3.5315068493150683</x:v>
      </x:c>
      <x:c r="F22" s="65" t="n">
        <x:f>'05_Assumptions'!C47+4</x:f>
        <x:v>4.531506849315068</x:v>
      </x:c>
      <x:c r="G22" s="61"/>
      <x:c r="H22" s="21"/>
      <x:c r="I22" s="21"/>
      <x:c r="J22" s="21"/>
      <x:c r="K22" s="21"/>
      <x:c r="L22" s="21"/>
    </x:row>
    <x:row r="23" ht="19" customHeight="1">
      <x:c r="A23" s="33" t="str">
        <x:v>Valuation output</x:v>
      </x:c>
      <x:c r="B23" s="33"/>
      <x:c r="C23" s="33"/>
      <x:c r="D23" s="33"/>
      <x:c r="E23" s="33"/>
      <x:c r="F23" s="33"/>
      <x:c r="G23" s="33"/>
      <x:c r="H23" s="21"/>
      <x:c r="I23" s="21"/>
      <x:c r="J23" s="21"/>
      <x:c r="K23" s="21"/>
      <x:c r="L23" s="21"/>
    </x:row>
    <x:row r="24" ht="19" customHeight="1">
      <x:c r="A24" s="21" t="str">
        <x:v>PV of explicit FCFE</x:v>
      </x:c>
      <x:c r="B24" s="21"/>
      <x:c r="C24" s="21" t="n">
        <x:f>SUM(B20:F20)</x:f>
        <x:v>4990.914691265953</x:v>
      </x:c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 ht="19" customHeight="1">
      <x:c r="A25" s="21" t="str">
        <x:v>PV of terminal value</x:v>
      </x:c>
      <x:c r="B25" s="21"/>
      <x:c r="C25" s="21" t="n">
        <x:f>G20/($C$7-$C$8)</x:f>
        <x:v>61569.01799053725</x:v>
      </x:c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 ht="19" customHeight="1">
      <x:c r="A26" s="34" t="str">
        <x:v>Equity value</x:v>
      </x:c>
      <x:c r="B26" s="34"/>
      <x:c r="C26" s="35" t="n">
        <x:f>C24+C25</x:f>
        <x:v>66559.9326818032</x:v>
      </x:c>
      <x:c r="D26" s="35"/>
      <x:c r="E26" s="35"/>
      <x:c r="F26" s="35"/>
      <x:c r="G26" s="35"/>
      <x:c r="H26" s="35"/>
      <x:c r="I26" s="35"/>
      <x:c r="J26" s="35"/>
      <x:c r="K26" s="35"/>
      <x:c r="L26" s="35"/>
    </x:row>
    <x:row r="27" ht="19" customHeight="1">
      <x:c r="A27" s="21" t="str">
        <x:v>Value per share</x:v>
      </x:c>
      <x:c r="B27" s="21"/>
      <x:c r="C27" s="64" t="n">
        <x:f>C26/$C$10</x:f>
        <x:v>776.153790115217</x:v>
      </x:c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 ht="19" customHeight="1">
      <x:c r="A28" s="21" t="str">
        <x:v>Reference price</x:v>
      </x:c>
      <x:c r="B28" s="21"/>
      <x:c r="C28" s="64" t="n">
        <x:f>C11</x:f>
        <x:v>1779</x:v>
      </x:c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 ht="19" customHeight="1">
      <x:c r="A29" s="21" t="str">
        <x:v>Upside / (downside)</x:v>
      </x:c>
      <x:c r="B29" s="21"/>
      <x:c r="C29" s="18" t="n">
        <x:f>C27/C28-1</x:f>
        <x:v>-0.5637134400701422</x:v>
      </x:c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 ht="8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 ht="8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 ht="19" customHeight="1">
      <x:c r="A32" s="91" t="str">
        <x:v>FCFE = profit after tax less the increase in required book equity (14% of net loans, not regulatory CAR).</x:v>
      </x:c>
      <x:c r="B32" s="91"/>
      <x:c r="C32" s="91"/>
      <x:c r="D32" s="91"/>
      <x:c r="E32" s="91"/>
      <x:c r="F32" s="91"/>
      <x:c r="G32" s="91"/>
      <x:c r="H32" s="91"/>
      <x:c r="I32" s="91"/>
      <x:c r="J32" s="91"/>
      <x:c r="K32" s="91"/>
      <x:c r="L32" s="91"/>
    </x:row>
    <x:row r="33" ht="8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 ht="19" customHeight="1">
      <x:c r="A34" s="91" t="str">
        <x:v>Valuation date: 18 September 2026. FY2027 FCFE is prorated for the remaining year. Later flows are year-end.</x:v>
      </x:c>
      <x:c r="B34" s="91"/>
      <x:c r="C34" s="91"/>
      <x:c r="D34" s="91"/>
      <x:c r="E34" s="91"/>
      <x:c r="F34" s="91"/>
      <x:c r="G34" s="91"/>
      <x:c r="H34" s="91"/>
      <x:c r="I34" s="91"/>
      <x:c r="J34" s="91"/>
      <x:c r="K34" s="91"/>
      <x:c r="L34" s="91"/>
    </x:row>
    <x:row r="35" ht="8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 ht="19" customHeight="1">
      <x:c r="A36" s="91" t="str">
        <x:v>Terminal profit = FY2031 required equity × terminal ROE. Reinvestment = required equity × terminal growth.</x:v>
      </x:c>
      <x:c r="B36" s="91"/>
      <x:c r="C36" s="91"/>
      <x:c r="D36" s="91"/>
      <x:c r="E36" s="91"/>
      <x:c r="F36" s="91"/>
      <x:c r="G36" s="91"/>
      <x:c r="H36" s="91"/>
      <x:c r="I36" s="91"/>
      <x:c r="J36" s="91"/>
      <x:c r="K36" s="91"/>
      <x:c r="L36" s="91"/>
    </x:row>
    <x:row r="37" ht="19" customHeight="1">
      <x:c r="A37" s="91" t="str">
        <x:v>Pro-forma shares include CCD conversion. No additional excess-capital distribution is assumed.</x:v>
      </x:c>
      <x:c r="B37" s="91"/>
      <x:c r="C37" s="91"/>
      <x:c r="D37" s="91"/>
      <x:c r="E37" s="91"/>
      <x:c r="F37" s="91"/>
      <x:c r="G37" s="91"/>
      <x:c r="H37" s="91"/>
      <x:c r="I37" s="91"/>
      <x:c r="J37" s="91"/>
      <x:c r="K37" s="91"/>
      <x:c r="L37" s="91"/>
    </x:row>
    <x:row r="38" ht="8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 ht="8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 ht="8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 ht="8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 ht="8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 ht="8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 ht="8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 ht="8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 ht="8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 ht="8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 ht="8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 ht="8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 ht="8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 ht="8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 ht="8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 ht="8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 ht="8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 ht="8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 ht="8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 ht="8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 ht="8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 ht="8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 ht="8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 ht="8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 ht="8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 ht="8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 ht="8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 ht="8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7" customHeight="1">
      <x:c r="A1" s="94" t="str">
        <x:v>Reverse DCF</x:v>
      </x:c>
      <x:c r="B1" s="94"/>
      <x:c r="C1" s="95"/>
      <x:c r="D1" s="95"/>
      <x:c r="E1" s="95"/>
      <x:c r="F1" s="95"/>
      <x:c r="G1" s="95"/>
      <x:c r="H1" s="95"/>
      <x:c r="I1" s="95"/>
      <x:c r="J1" s="95"/>
      <x:c r="K1" s="95"/>
      <x:c r="L1" s="95"/>
    </x:row>
    <x:row r="2" ht="8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19" customHeight="1">
      <x:c r="A3" s="45" t="str">
        <x:v>Market-implied terminal ROE with the operating forecast held constant</x:v>
      </x:c>
      <x:c r="B3"/>
      <x:c r="C3"/>
      <x:c r="D3"/>
      <x:c r="E3"/>
      <x:c r="F3"/>
      <x:c r="G3"/>
      <x:c r="H3"/>
      <x:c r="I3"/>
      <x:c r="J3"/>
      <x:c r="K3"/>
      <x:c r="L3"/>
    </x:row>
    <x:row r="4" ht="8" customHeight="1">
      <x:c r="A4"/>
      <x:c r="B4"/>
      <x:c r="C4"/>
      <x:c r="D4"/>
      <x:c r="E4"/>
      <x:c r="F4"/>
      <x:c r="G4"/>
      <x:c r="H4"/>
      <x:c r="I4"/>
      <x:c r="J4"/>
      <x:c r="K4"/>
      <x:c r="L4"/>
    </x:row>
    <x:row r="5" ht="19" customHeight="1">
      <x:c r="A5" s="55" t="str">
        <x:v>Implied expectations</x:v>
      </x:c>
      <x:c r="B5" s="55"/>
      <x:c r="C5" s="55"/>
      <x:c r="D5" s="55"/>
      <x:c r="E5" s="55"/>
      <x:c r="F5" s="55"/>
      <x:c r="G5" s="55"/>
      <x:c r="H5" s="55"/>
      <x:c r="I5" s="55"/>
      <x:c r="J5" s="55"/>
      <x:c r="K5" s="55"/>
      <x:c r="L5" s="55"/>
    </x:row>
    <x:row r="6" ht="8" customHeight="1">
      <x:c r="A6"/>
      <x:c r="B6"/>
      <x:c r="C6"/>
      <x:c r="D6"/>
      <x:c r="E6"/>
      <x:c r="F6"/>
      <x:c r="G6"/>
      <x:c r="H6"/>
      <x:c r="I6"/>
      <x:c r="J6"/>
      <x:c r="K6"/>
      <x:c r="L6"/>
    </x:row>
    <x:row r="7" ht="19" customHeight="1">
      <x:c r="A7" s="45" t="str">
        <x:v>Reference share price</x:v>
      </x:c>
      <x:c r="B7"/>
      <x:c r="C7" s="66" t="n">
        <x:f>'10_DCF'!C28</x:f>
        <x:v>1779</x:v>
      </x:c>
      <x:c r="D7"/>
      <x:c r="E7"/>
      <x:c r="F7"/>
      <x:c r="G7"/>
      <x:c r="H7"/>
      <x:c r="I7"/>
      <x:c r="J7"/>
      <x:c r="K7"/>
      <x:c r="L7"/>
    </x:row>
    <x:row r="8" ht="19" customHeight="1">
      <x:c r="A8" s="45" t="str">
        <x:v>Reference equity value</x:v>
      </x:c>
      <x:c r="B8"/>
      <x:c r="C8" s="66" t="n">
        <x:f>C7*'10_DCF'!C10</x:f>
        <x:v>152560.12629062904</x:v>
      </x:c>
      <x:c r="D8"/>
      <x:c r="E8"/>
      <x:c r="F8"/>
      <x:c r="G8"/>
      <x:c r="H8"/>
      <x:c r="I8"/>
      <x:c r="J8"/>
      <x:c r="K8"/>
      <x:c r="L8"/>
    </x:row>
    <x:row r="9" ht="19" customHeight="1">
      <x:c r="A9" s="45" t="str">
        <x:v>PV of explicit FCFE</x:v>
      </x:c>
      <x:c r="B9"/>
      <x:c r="C9" s="66" t="n">
        <x:f>'10_DCF'!C24</x:f>
        <x:v>4990.914691265953</x:v>
      </x:c>
      <x:c r="D9"/>
      <x:c r="E9"/>
      <x:c r="F9"/>
      <x:c r="G9"/>
      <x:c r="H9"/>
      <x:c r="I9"/>
      <x:c r="J9"/>
      <x:c r="K9"/>
      <x:c r="L9"/>
    </x:row>
    <x:row r="10" ht="19" customHeight="1">
      <x:c r="A10" s="45" t="str">
        <x:v>Required PV of terminal value</x:v>
      </x:c>
      <x:c r="B10"/>
      <x:c r="C10" s="67" t="n">
        <x:f>C8-C9</x:f>
        <x:v>147569.21159936307</x:v>
      </x:c>
      <x:c r="D10"/>
      <x:c r="E10"/>
      <x:c r="F10"/>
      <x:c r="G10"/>
      <x:c r="H10"/>
      <x:c r="I10"/>
      <x:c r="J10"/>
      <x:c r="K10"/>
      <x:c r="L10"/>
    </x:row>
    <x:row r="11" ht="19" customHeight="1">
      <x:c r="A11" s="45" t="str">
        <x:v>Terminal equity capital</x:v>
      </x:c>
      <x:c r="B11"/>
      <x:c r="C11" s="66" t="n">
        <x:f>'06_Schedules'!L34</x:f>
        <x:v>71416.12762965057</x:v>
      </x:c>
      <x:c r="D11"/>
      <x:c r="E11"/>
      <x:c r="F11"/>
      <x:c r="G11"/>
      <x:c r="H11"/>
      <x:c r="I11"/>
      <x:c r="J11"/>
      <x:c r="K11"/>
      <x:c r="L11"/>
    </x:row>
    <x:row r="12" ht="19" customHeight="1">
      <x:c r="A12" s="45" t="str">
        <x:v>Implied terminal ROE</x:v>
      </x:c>
      <x:c r="B12"/>
      <x:c r="C12" s="47" t="n">
        <x:f>C10*('10_DCF'!C7-'10_DCF'!C8)/('10_DCF'!F19*C11)+'10_DCF'!C8</x:f>
        <x:v>0.33761714852501334</x:v>
      </x:c>
      <x:c r="D12"/>
      <x:c r="E12"/>
      <x:c r="F12"/>
      <x:c r="G12"/>
      <x:c r="H12"/>
      <x:c r="I12"/>
      <x:c r="J12"/>
      <x:c r="K12"/>
      <x:c r="L12"/>
    </x:row>
    <x:row r="13" ht="19" customHeight="1">
      <x:c r="A13" s="45" t="str">
        <x:v>Base terminal ROE</x:v>
      </x:c>
      <x:c r="B13"/>
      <x:c r="C13" s="47" t="n">
        <x:f>'10_DCF'!C9</x:f>
        <x:v>0.17</x:v>
      </x:c>
      <x:c r="D13"/>
      <x:c r="E13"/>
      <x:c r="F13"/>
      <x:c r="G13"/>
      <x:c r="H13"/>
      <x:c r="I13"/>
      <x:c r="J13"/>
      <x:c r="K13"/>
      <x:c r="L13"/>
    </x:row>
    <x:row r="14" ht="19" customHeight="1">
      <x:c r="A14" s="45" t="str">
        <x:v>Implied premium to base ROE</x:v>
      </x:c>
      <x:c r="B14"/>
      <x:c r="C14" s="49" t="n">
        <x:f>C12-C13</x:f>
        <x:v>0.16761714852501333</x:v>
      </x:c>
      <x:c r="D14"/>
      <x:c r="E14"/>
      <x:c r="F14"/>
      <x:c r="G14"/>
      <x:c r="H14"/>
      <x:c r="I14"/>
      <x:c r="J14"/>
      <x:c r="K14"/>
      <x:c r="L14"/>
    </x:row>
    <x:row r="15" ht="8" customHeight="1">
      <x:c r="A15"/>
      <x:c r="B15"/>
      <x:c r="C15" s="68"/>
      <x:c r="D15"/>
      <x:c r="E15"/>
      <x:c r="F15"/>
      <x:c r="G15"/>
      <x:c r="H15"/>
      <x:c r="I15"/>
      <x:c r="J15"/>
      <x:c r="K15"/>
      <x:c r="L15"/>
    </x:row>
    <x:row r="16" ht="19" customHeight="1">
      <x:c r="A16" s="45" t="str">
        <x:v>Repriced equity value</x:v>
      </x:c>
      <x:c r="B16"/>
      <x:c r="C16" s="66" t="n">
        <x:f>C9+C11*(C12-'10_DCF'!C8)/('10_DCF'!C7-'10_DCF'!C8)*'10_DCF'!F19</x:f>
        <x:v>152560.12629062904</x:v>
      </x:c>
      <x:c r="D16"/>
      <x:c r="E16"/>
      <x:c r="F16"/>
      <x:c r="G16"/>
      <x:c r="H16"/>
      <x:c r="I16"/>
      <x:c r="J16"/>
      <x:c r="K16"/>
      <x:c r="L16"/>
    </x:row>
    <x:row r="17" ht="19" customHeight="1">
      <x:c r="A17" s="45" t="str">
        <x:v>Repriced share value</x:v>
      </x:c>
      <x:c r="B17"/>
      <x:c r="C17" s="69" t="n">
        <x:f>C16/'10_DCF'!C10</x:f>
        <x:v>1779</x:v>
      </x:c>
      <x:c r="D17"/>
      <x:c r="E17"/>
      <x:c r="F17"/>
      <x:c r="G17"/>
      <x:c r="H17"/>
      <x:c r="I17"/>
      <x:c r="J17"/>
      <x:c r="K17"/>
      <x:c r="L17"/>
    </x:row>
    <x:row r="18" ht="30" customHeight="1">
      <x:c r="A18" s="45" t="str">
        <x:v>Price difference</x:v>
      </x:c>
      <x:c r="B18"/>
      <x:c r="C18" s="70" t="n">
        <x:f>C17-C7</x:f>
        <x:v>0</x:v>
      </x:c>
      <x:c r="D18"/>
      <x:c r="E18"/>
      <x:c r="F18"/>
      <x:c r="G18"/>
      <x:c r="H18"/>
      <x:c r="I18"/>
      <x:c r="J18"/>
      <x:c r="K18"/>
      <x:c r="L18"/>
    </x:row>
    <x:row r="19" ht="8" customHeight="1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 ht="8" customHeight="1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 ht="19" customHeight="1">
      <x:c r="A21" s="91" t="str">
        <x:v>Reverse DCF solves terminal ROE at the reference share price. Forecasts, capital, cost of equity and growth stay fixed.</x:v>
      </x:c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</x:row>
    <x:row r="22" ht="8" customHeight="1">
      <x:c r="A22"/>
      <x:c r="B22"/>
      <x:c r="C22"/>
      <x:c r="D22"/>
      <x:c r="E22"/>
      <x:c r="F22"/>
      <x:c r="G22"/>
      <x:c r="H22"/>
      <x:c r="I22"/>
      <x:c r="J22"/>
      <x:c r="K22"/>
      <x:c r="L22"/>
    </x:row>
    <x:row r="23" ht="8" customHeight="1">
      <x:c r="A23" s="52"/>
      <x:c r="B23" s="52"/>
      <x:c r="C23" s="52"/>
      <x:c r="D23" s="52"/>
      <x:c r="E23" s="52"/>
      <x:c r="F23" s="52"/>
      <x:c r="G23" s="52"/>
      <x:c r="H23"/>
      <x:c r="I23"/>
      <x:c r="J23"/>
      <x:c r="K23"/>
      <x:c r="L23"/>
    </x:row>
    <x:row r="24" ht="8" customHeight="1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 ht="8" customHeight="1">
      <x:c r="A25"/>
      <x:c r="B25"/>
      <x:c r="C25"/>
      <x:c r="D25"/>
      <x:c r="E25"/>
      <x:c r="F25"/>
      <x:c r="G25"/>
      <x:c r="H25"/>
      <x:c r="I25"/>
      <x:c r="J25"/>
      <x:c r="K25"/>
      <x:c r="L25"/>
    </x:row>
    <x:row r="26" ht="8" customHeight="1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 ht="8" customHeight="1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 ht="8" customHeight="1">
      <x:c r="A28"/>
      <x:c r="B28"/>
      <x:c r="C28"/>
      <x:c r="D28"/>
      <x:c r="E28"/>
      <x:c r="F28"/>
      <x:c r="G28"/>
      <x:c r="H28"/>
      <x:c r="I28"/>
      <x:c r="J28"/>
      <x:c r="K28"/>
      <x:c r="L28"/>
    </x:row>
    <x:row r="29" ht="8" customHeight="1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 ht="8" customHeight="1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 ht="8" customHeight="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 ht="8" customHeight="1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 ht="8" customHeight="1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 ht="8" customHeight="1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 ht="8" customHeight="1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 ht="8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 ht="8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 ht="8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 ht="8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 ht="8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 ht="8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 ht="8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 ht="8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 ht="8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 ht="8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 ht="8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 ht="8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 ht="8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 ht="8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 ht="8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 ht="8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 ht="8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 ht="8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 ht="8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 ht="8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 ht="8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 ht="8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 ht="8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 ht="8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 ht="8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 ht="8" customHeight="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 ht="8" customHeight="1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 ht="8" customHeight="1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 ht="8" customHeight="1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 ht="8" customHeight="1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 ht="19" customHeight="1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 ht="19" customHeight="1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 ht="19" customHeight="1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 ht="19" customHeight="1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 ht="19" customHeight="1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 ht="19" customHeight="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 ht="19" customHeight="1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 ht="19" customHeight="1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 ht="19" customHeight="1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 ht="19" customHeight="1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 ht="19" customHeight="1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 ht="19" customHeight="1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 ht="19" customHeight="1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 ht="19" customHeight="1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 ht="19" customHeight="1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 ht="19" customHeight="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 ht="19" customHeight="1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 ht="19" customHeight="1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 ht="19" customHeight="1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 ht="19" customHeight="1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 ht="19" customHeight="1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 ht="19" customHeight="1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 ht="19" customHeight="1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 ht="19" customHeight="1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 ht="19" customHeight="1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 ht="19" customHeight="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 ht="19" customHeight="1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 ht="19" customHeight="1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 ht="19" customHeight="1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 ht="19" customHeight="1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 ht="19" customHeight="1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 ht="19" customHeight="1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 ht="19" customHeight="1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 ht="19" customHeight="1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 ht="19" customHeight="1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 ht="19" customHeight="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 ht="19" customHeight="1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 ht="19" customHeight="1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 ht="19" customHeight="1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 ht="19" customHeight="1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</x:row>
    <x:row r="106" ht="19" customHeight="1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</x:row>
    <x:row r="107" ht="19" customHeight="1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</x:row>
    <x:row r="108" ht="19" customHeight="1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</x:row>
    <x:row r="109" ht="19" customHeight="1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</x:row>
    <x:row r="110" ht="19" customHeight="1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</x:row>
    <x:row r="111" ht="19" customHeight="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</x:row>
    <x:row r="112" ht="19" customHeight="1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</x:row>
    <x:row r="113" ht="19" customHeight="1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</x:row>
    <x:row r="114" ht="19" customHeight="1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</x:row>
    <x:row r="115" ht="19" customHeight="1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</x:row>
    <x:row r="116" ht="19" customHeight="1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</x:row>
    <x:row r="117" ht="19" customHeight="1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</x:row>
    <x:row r="118" ht="19" customHeight="1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</x:row>
    <x:row r="119" ht="19" customHeight="1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</x:row>
    <x:row r="120" ht="19" customHeight="1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</x:row>
    <x:row r="121" ht="19" customHeight="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</x:row>
    <x:row r="122" ht="19" customHeight="1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</x:row>
    <x:row r="123" ht="19" customHeight="1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</x:row>
    <x:row r="124" ht="19" customHeight="1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</x:row>
    <x:row r="125" ht="19" customHeight="1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</x:row>
    <x:row r="126" ht="19" customHeight="1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</x:row>
    <x:row r="127" ht="19" customHeight="1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</x:row>
    <x:row r="128" ht="19" customHeight="1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</x:row>
    <x:row r="129" ht="19" customHeight="1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</x:row>
    <x:row r="130" ht="19" customHeight="1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</x:row>
    <x:row r="131" ht="19" customHeight="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</x:row>
    <x:row r="132" ht="19" customHeight="1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</x:row>
    <x:row r="133" ht="19" customHeight="1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</x:row>
    <x:row r="134" ht="19" customHeight="1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</x:row>
    <x:row r="135" ht="19" customHeight="1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</x:row>
    <x:row r="136" ht="19" customHeight="1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</x:row>
    <x:row r="137" ht="19" customHeight="1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</x:row>
    <x:row r="138" ht="19" customHeight="1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</x:row>
    <x:row r="139" ht="19" customHeight="1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</x:row>
    <x:row r="140" ht="19" customHeight="1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</x:row>
  </x:sheetData>
  <x:pageMargins left="0.7" right="0.7" top="0.75" bottom="0.75" header="0.3" footer="0.3"/>
</x:worksheet>
</file>